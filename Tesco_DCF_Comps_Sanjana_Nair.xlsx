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34c82dc61e2d63e/Documents/Fin Project/"/>
    </mc:Choice>
  </mc:AlternateContent>
  <xr:revisionPtr revIDLastSave="29" documentId="8_{94C7B757-AFEB-4152-80BD-5330B77FD49E}" xr6:coauthVersionLast="47" xr6:coauthVersionMax="47" xr10:uidLastSave="{D0165B36-642E-4F17-BACB-BC1F301268D8}"/>
  <bookViews>
    <workbookView xWindow="11424" yWindow="0" windowWidth="11712" windowHeight="12336" tabRatio="500" firstSheet="5" activeTab="5" xr2:uid="{00000000-000D-0000-FFFF-FFFF00000000}"/>
  </bookViews>
  <sheets>
    <sheet name="Cover" sheetId="1" r:id="rId1"/>
    <sheet name="Assumptions" sheetId="2" r:id="rId2"/>
    <sheet name="Income Statement" sheetId="3" r:id="rId3"/>
    <sheet name="DCF Valuation" sheetId="4" r:id="rId4"/>
    <sheet name="Trading Comps" sheetId="5" r:id="rId5"/>
    <sheet name="Football Field" sheetId="6" r:id="rId6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5" l="1"/>
  <c r="I17" i="5"/>
  <c r="H17" i="5"/>
  <c r="G17" i="5"/>
  <c r="F17" i="5"/>
  <c r="J16" i="5"/>
  <c r="I16" i="5"/>
  <c r="H16" i="5"/>
  <c r="G16" i="5"/>
  <c r="F16" i="5"/>
  <c r="J15" i="5"/>
  <c r="I15" i="5"/>
  <c r="H15" i="5"/>
  <c r="G15" i="5"/>
  <c r="F15" i="5"/>
  <c r="J14" i="5"/>
  <c r="I14" i="5"/>
  <c r="H14" i="5"/>
  <c r="G14" i="5"/>
  <c r="F14" i="5"/>
  <c r="C37" i="4"/>
  <c r="C12" i="4"/>
  <c r="C13" i="4" s="1"/>
  <c r="C10" i="4"/>
  <c r="C9" i="4"/>
  <c r="C11" i="4" s="1"/>
  <c r="C7" i="4"/>
  <c r="C6" i="4"/>
  <c r="C5" i="4"/>
  <c r="C8" i="4" s="1"/>
  <c r="E28" i="3"/>
  <c r="D28" i="3"/>
  <c r="C28" i="3"/>
  <c r="E27" i="3"/>
  <c r="D27" i="3"/>
  <c r="C27" i="3"/>
  <c r="E26" i="3"/>
  <c r="D26" i="3"/>
  <c r="C26" i="3"/>
  <c r="E15" i="3"/>
  <c r="D15" i="3"/>
  <c r="C15" i="3"/>
  <c r="F15" i="3"/>
  <c r="E11" i="3"/>
  <c r="D11" i="3"/>
  <c r="C11" i="3"/>
  <c r="F11" i="3"/>
  <c r="F7" i="3"/>
  <c r="E7" i="3"/>
  <c r="D7" i="3"/>
  <c r="C24" i="2"/>
  <c r="F19" i="3" l="1"/>
  <c r="C14" i="4"/>
  <c r="G6" i="3"/>
  <c r="F26" i="3" l="1"/>
  <c r="F21" i="3"/>
  <c r="G10" i="3"/>
  <c r="G11" i="3" s="1"/>
  <c r="G7" i="3"/>
  <c r="C24" i="4"/>
  <c r="G20" i="3"/>
  <c r="G14" i="3"/>
  <c r="C23" i="4"/>
  <c r="H6" i="3"/>
  <c r="E31" i="4"/>
  <c r="D31" i="4"/>
  <c r="C31" i="4"/>
  <c r="C38" i="4"/>
  <c r="G18" i="3" l="1"/>
  <c r="C22" i="4" s="1"/>
  <c r="G15" i="3"/>
  <c r="C22" i="5"/>
  <c r="H14" i="3"/>
  <c r="H7" i="3"/>
  <c r="D24" i="4"/>
  <c r="D23" i="4"/>
  <c r="I6" i="3"/>
  <c r="H10" i="3"/>
  <c r="H11" i="3" s="1"/>
  <c r="H20" i="3"/>
  <c r="F28" i="3"/>
  <c r="F27" i="3" l="1"/>
  <c r="I7" i="3"/>
  <c r="I20" i="3"/>
  <c r="E24" i="4"/>
  <c r="I10" i="3"/>
  <c r="I11" i="3" s="1"/>
  <c r="I14" i="3"/>
  <c r="E23" i="4"/>
  <c r="H15" i="3"/>
  <c r="H18" i="3"/>
  <c r="D22" i="4" s="1"/>
  <c r="C27" i="5"/>
  <c r="C30" i="5" s="1"/>
  <c r="D10" i="6" s="1"/>
  <c r="C26" i="5"/>
  <c r="C29" i="5" s="1"/>
  <c r="D9" i="6" s="1"/>
  <c r="G19" i="3"/>
  <c r="C19" i="4" s="1"/>
  <c r="H19" i="3" l="1"/>
  <c r="I18" i="3"/>
  <c r="E22" i="4" s="1"/>
  <c r="I15" i="3"/>
  <c r="G21" i="3"/>
  <c r="C23" i="5"/>
  <c r="G26" i="3"/>
  <c r="G22" i="3" l="1"/>
  <c r="G28" i="3" s="1"/>
  <c r="I19" i="3"/>
  <c r="C20" i="4"/>
  <c r="C21" i="4" s="1"/>
  <c r="C25" i="4" s="1"/>
  <c r="C32" i="4" s="1"/>
  <c r="D19" i="4"/>
  <c r="H21" i="3"/>
  <c r="H26" i="3"/>
  <c r="D20" i="4" l="1"/>
  <c r="D21" i="4" s="1"/>
  <c r="D25" i="4" s="1"/>
  <c r="D32" i="4" s="1"/>
  <c r="H22" i="3"/>
  <c r="H28" i="3" s="1"/>
  <c r="I21" i="3"/>
  <c r="E19" i="4"/>
  <c r="I26" i="3"/>
  <c r="G23" i="3"/>
  <c r="H23" i="3" l="1"/>
  <c r="H27" i="3" s="1"/>
  <c r="G27" i="3"/>
  <c r="C24" i="5"/>
  <c r="I22" i="3"/>
  <c r="I28" i="3" s="1"/>
  <c r="E20" i="4"/>
  <c r="E21" i="4" s="1"/>
  <c r="E25" i="4" s="1"/>
  <c r="C36" i="4" l="1"/>
  <c r="C39" i="4" s="1"/>
  <c r="C40" i="4" s="1"/>
  <c r="E32" i="4"/>
  <c r="C33" i="4" s="1"/>
  <c r="C44" i="4" s="1"/>
  <c r="I23" i="3"/>
  <c r="I27" i="3" s="1"/>
  <c r="C45" i="4" l="1"/>
  <c r="C46" i="4"/>
  <c r="C50" i="4" s="1"/>
  <c r="C52" i="4" s="1"/>
  <c r="D7" i="6" s="1"/>
  <c r="C42" i="4"/>
  <c r="C41" i="4" l="1"/>
  <c r="C25" i="6" s="1"/>
</calcChain>
</file>

<file path=xl/sharedStrings.xml><?xml version="1.0" encoding="utf-8"?>
<sst xmlns="http://schemas.openxmlformats.org/spreadsheetml/2006/main" count="244" uniqueCount="214">
  <si>
    <t>CORPORATE VALUATION ANALYSIS</t>
  </si>
  <si>
    <t>Tesco PLC  |  LSE: TSCO  |  FTSE 100</t>
  </si>
  <si>
    <t>Discounted Cash Flow (DCF) &amp; Trading Comparables Analysis</t>
  </si>
  <si>
    <t>Prepared by:</t>
  </si>
  <si>
    <t>Sanjana Nair</t>
  </si>
  <si>
    <t>Date:</t>
  </si>
  <si>
    <t>March 2026</t>
  </si>
  <si>
    <t>Currency:</t>
  </si>
  <si>
    <t>GBP (£ millions)</t>
  </si>
  <si>
    <t>Fiscal Year End:</t>
  </si>
  <si>
    <t>February / February</t>
  </si>
  <si>
    <t>Data Source:</t>
  </si>
  <si>
    <t>WORKBOOK CONTENTS</t>
  </si>
  <si>
    <t>1. Assumptions</t>
  </si>
  <si>
    <t>Key model drivers &amp; inputs</t>
  </si>
  <si>
    <t>2. Income Statement</t>
  </si>
  <si>
    <t>Historical &amp; projected P&amp;L (FY22–FY28E)</t>
  </si>
  <si>
    <t>3. DCF Valuation</t>
  </si>
  <si>
    <t>WACC, UFCF, Terminal Value, Equity Bridge</t>
  </si>
  <si>
    <t>4. Trading Comps</t>
  </si>
  <si>
    <t>EV/EBITDA &amp; P/E peer benchmarking</t>
  </si>
  <si>
    <t>5. Football Field</t>
  </si>
  <si>
    <t>Summary valuation output</t>
  </si>
  <si>
    <t>Disclaimer: This model is for educational and portfolio purposes only. All projections are based on publicly available information and analyst estimates. This does not constitute investment advice.</t>
  </si>
  <si>
    <t>MODEL ASSUMPTIONS — TESCO PLC</t>
  </si>
  <si>
    <t>Blue = inputs you can change  |  Pale blue background = editable cell  |  All figures in £ millions unless stated</t>
  </si>
  <si>
    <t>A. REVENUE ASSUMPTIONS</t>
  </si>
  <si>
    <t>Assumption</t>
  </si>
  <si>
    <t>FY26E</t>
  </si>
  <si>
    <t>FY27E</t>
  </si>
  <si>
    <t>FY28E</t>
  </si>
  <si>
    <t>Revenue Growth Rate (%)</t>
  </si>
  <si>
    <t>UK &amp; ROI Revenue Growth (%)</t>
  </si>
  <si>
    <t>Booker Revenue Growth (%)</t>
  </si>
  <si>
    <t>B. PROFITABILITY ASSUMPTIONS</t>
  </si>
  <si>
    <t>Gross Margin (%)</t>
  </si>
  <si>
    <t>EBITDA Margin (%)</t>
  </si>
  <si>
    <t>EBIT Margin (%)</t>
  </si>
  <si>
    <t>D&amp;A as % of Revenue (%)</t>
  </si>
  <si>
    <t>Tax Rate (%)</t>
  </si>
  <si>
    <t>C. DCF / WACC ASSUMPTIONS</t>
  </si>
  <si>
    <t>Risk-Free Rate (10Y UK Gilt, %)</t>
  </si>
  <si>
    <t>Equity Risk Premium (%)</t>
  </si>
  <si>
    <t>Beta (Levered)</t>
  </si>
  <si>
    <t>Cost of Debt (pre-tax, %)</t>
  </si>
  <si>
    <t>Debt / (Debt + Equity) — Target Capital Structure (%)</t>
  </si>
  <si>
    <t>WACC (calculated below, %)</t>
  </si>
  <si>
    <t>Terminal Growth Rate (%)</t>
  </si>
  <si>
    <t>Projection Years</t>
  </si>
  <si>
    <t>WACC = Ke × (E/V) + Kd × (1–T) × (D/V)  →  Calculated: ~6.5%</t>
  </si>
  <si>
    <t>Ke = Rf + β × ERP = 4.2% + 0.65 × 6.0% = 8.1%  |  Kd (post-tax) = 4.5% × 75% = 3.4%</t>
  </si>
  <si>
    <t>D. WORKING CAPITAL &amp; CAPEX ASSUMPTIONS</t>
  </si>
  <si>
    <t>Capex as % of Revenue (%)</t>
  </si>
  <si>
    <t>Change in Working Capital as % of Revenue (%)</t>
  </si>
  <si>
    <t>E. COLOUR CODING KEY</t>
  </si>
  <si>
    <t>Sample</t>
  </si>
  <si>
    <t>Hardcoded input — change to run scenarios</t>
  </si>
  <si>
    <t>Formula / calculated value</t>
  </si>
  <si>
    <t>Cross-sheet link</t>
  </si>
  <si>
    <t>Subtotal / total row</t>
  </si>
  <si>
    <t>INCOME STATEMENT — TESCO PLC  (£ millions)</t>
  </si>
  <si>
    <t>Historical: FY2022–FY2024 (actual)  |  FY2025E–FY2028E (projected)</t>
  </si>
  <si>
    <t>£ millions</t>
  </si>
  <si>
    <t>FY2022A</t>
  </si>
  <si>
    <t>FY2023A</t>
  </si>
  <si>
    <t>FY2024A</t>
  </si>
  <si>
    <t>FY2026E</t>
  </si>
  <si>
    <t>FY2027E</t>
  </si>
  <si>
    <t>FY2028E</t>
  </si>
  <si>
    <t>REVENUE</t>
  </si>
  <si>
    <t>Group Revenue</t>
  </si>
  <si>
    <t>Revenue Growth (%)</t>
  </si>
  <si>
    <t>GROSS PROFIT</t>
  </si>
  <si>
    <t>Gross Profit</t>
  </si>
  <si>
    <t>EBITDA</t>
  </si>
  <si>
    <t>EBIT &amp; NET INCOME</t>
  </si>
  <si>
    <t>D&amp;A</t>
  </si>
  <si>
    <t>EBIT</t>
  </si>
  <si>
    <t>Net Interest Expense</t>
  </si>
  <si>
    <t>EBT</t>
  </si>
  <si>
    <t>Taxation</t>
  </si>
  <si>
    <t>Net Income</t>
  </si>
  <si>
    <t>KEY MARGINS &amp; RATIOS</t>
  </si>
  <si>
    <t>Net Profit Margin (%)</t>
  </si>
  <si>
    <t>Effective Tax Rate (%)</t>
  </si>
  <si>
    <t>DCF VALUATION — TESCO PLC  (£ millions)</t>
  </si>
  <si>
    <t>Unlevered Free Cash Flow model  |  3-year projection  |  Gordon Growth terminal value</t>
  </si>
  <si>
    <t>STEP 1 — WACC CALCULATION</t>
  </si>
  <si>
    <t>Risk-Free Rate (Rf)</t>
  </si>
  <si>
    <t>Equity Risk Premium (ERP)</t>
  </si>
  <si>
    <t>Beta (β)</t>
  </si>
  <si>
    <t>Cost of Equity — Ke = Rf + β × ERP</t>
  </si>
  <si>
    <t>Cost of Debt — Kd (pre-tax)</t>
  </si>
  <si>
    <t>Tax Rate</t>
  </si>
  <si>
    <t>Cost of Debt — Kd (post-tax)</t>
  </si>
  <si>
    <t>Debt Weight (D/V)</t>
  </si>
  <si>
    <t>Equity Weight (E/V)</t>
  </si>
  <si>
    <t>WACC  =  Ke × (E/V) + Kd(1-T) × (D/V)</t>
  </si>
  <si>
    <t>STEP 2 — UNLEVERED FREE CASH FLOW (UFCF)</t>
  </si>
  <si>
    <t>Line Item</t>
  </si>
  <si>
    <t>Less: Tax on EBIT (NOPAT)</t>
  </si>
  <si>
    <t>NOPAT (Net Op. Profit After Tax)</t>
  </si>
  <si>
    <t>Add: D&amp;A</t>
  </si>
  <si>
    <t>Less: Capex</t>
  </si>
  <si>
    <t>Change in Working Capital</t>
  </si>
  <si>
    <t>Unlevered Free Cash Flow (UFCF)</t>
  </si>
  <si>
    <t>STEP 3 — DISCOUNTING CASH FLOWS</t>
  </si>
  <si>
    <t>Period (year)</t>
  </si>
  <si>
    <t>1</t>
  </si>
  <si>
    <t>2</t>
  </si>
  <si>
    <t>3</t>
  </si>
  <si>
    <t>Discount Factor  [1/(1+WACC)^n]</t>
  </si>
  <si>
    <t>PV of UFCF</t>
  </si>
  <si>
    <t>Sum of PV (FCFs)</t>
  </si>
  <si>
    <t>STEP 4 — TERMINAL VALUE (GORDON GROWTH MODEL)</t>
  </si>
  <si>
    <t>Terminal Year UFCF (FY2028E)</t>
  </si>
  <si>
    <t>Terminal Growth Rate (g)</t>
  </si>
  <si>
    <t>WACC</t>
  </si>
  <si>
    <t>Terminal Value  =  UFCF × (1+g) / (WACC – g)</t>
  </si>
  <si>
    <t>PV of Terminal Value</t>
  </si>
  <si>
    <t>% of EV from Terminal Value</t>
  </si>
  <si>
    <t>← Key sanity check: if &gt;80%, model is very sensitive to terminal assumptions</t>
  </si>
  <si>
    <t>% of EV from FCF (projection period)</t>
  </si>
  <si>
    <t>STEP 5 — ENTERPRISE VALUE &amp; EQUITY BRIDGE</t>
  </si>
  <si>
    <t>PV of Free Cash Flows (projection period)</t>
  </si>
  <si>
    <t>Enterprise Value (EV)</t>
  </si>
  <si>
    <t>Less: Minority Interests</t>
  </si>
  <si>
    <t>Add: Cash &amp; Equivalents (FY2024A)</t>
  </si>
  <si>
    <t>Implied Equity Value</t>
  </si>
  <si>
    <t>Shares Outstanding (millions)</t>
  </si>
  <si>
    <t>Implied Share Price (£)</t>
  </si>
  <si>
    <t>SENSITIVITY ANALYSIS — Implied Share Price vs. WACC &amp; Terminal Growth Rate</t>
  </si>
  <si>
    <t>Share Price (£)  ↓ WACC  →  Terminal Growth Rate</t>
  </si>
  <si>
    <t>WACC / TGR</t>
  </si>
  <si>
    <t>1.5%</t>
  </si>
  <si>
    <t>1.8%</t>
  </si>
  <si>
    <t>2.0%</t>
  </si>
  <si>
    <t>2.2%</t>
  </si>
  <si>
    <t>2.5%</t>
  </si>
  <si>
    <t>5.5%</t>
  </si>
  <si>
    <t>6.0%</t>
  </si>
  <si>
    <t>6.5%</t>
  </si>
  <si>
    <t>7.0%</t>
  </si>
  <si>
    <t>7.5%</t>
  </si>
  <si>
    <t>★ Highlighted cell = base case (WACC 6.5%, TGR 2.0%)</t>
  </si>
  <si>
    <t>TRADING COMPARABLES — EUROPEAN FOOD RETAIL &amp; WHOLESALE  (£ millions)</t>
  </si>
  <si>
    <t>Source: Tesco PLC Annual Reports, Tesco Investor Relations, Stockanalysis.com, March 2026  |  Share prices as of 28 Feb 2026  |  NTM = Next Twelve Months consensus estimates</t>
  </si>
  <si>
    <t>PEER GROUP TRADING MULTIPLES</t>
  </si>
  <si>
    <t>Company</t>
  </si>
  <si>
    <t>Ticker</t>
  </si>
  <si>
    <t>Market Cap
(£m)</t>
  </si>
  <si>
    <t>EV
(£m)</t>
  </si>
  <si>
    <t>EV/EBITDA
LTM</t>
  </si>
  <si>
    <t>EV/EBITDA
NTM</t>
  </si>
  <si>
    <t>EV/EBIT
NTM</t>
  </si>
  <si>
    <t>P/E
NTM</t>
  </si>
  <si>
    <t>Revenue
Growth NTM</t>
  </si>
  <si>
    <t>Tesco PLC ★</t>
  </si>
  <si>
    <t>LSE: TSCO</t>
  </si>
  <si>
    <t>J Sainsbury</t>
  </si>
  <si>
    <t>LSE: SBRY</t>
  </si>
  <si>
    <t>Marks &amp; Spencer</t>
  </si>
  <si>
    <t>LSE: MKS</t>
  </si>
  <si>
    <t>Ocado Group</t>
  </si>
  <si>
    <t>LSE: OCDO</t>
  </si>
  <si>
    <t>N/M</t>
  </si>
  <si>
    <t>Carrefour SA</t>
  </si>
  <si>
    <t>EPA: CA</t>
  </si>
  <si>
    <t>Koninklijke Ahold</t>
  </si>
  <si>
    <t>AMS: AD</t>
  </si>
  <si>
    <t>Metro AG</t>
  </si>
  <si>
    <t>ETR: B4B</t>
  </si>
  <si>
    <t>Minimum (ex-Tesco)</t>
  </si>
  <si>
    <t>Maximum (ex-Tesco)</t>
  </si>
  <si>
    <t>Median (ex-Tesco)</t>
  </si>
  <si>
    <t>Mean (ex-Tesco)</t>
  </si>
  <si>
    <t>IMPLIED VALUATION FROM COMPS MULTIPLES</t>
  </si>
  <si>
    <t>Tesco NTM EBITDA (£m)</t>
  </si>
  <si>
    <t>Source: Income Statement projection (FY2026E)</t>
  </si>
  <si>
    <t>Tesco NTM EBIT (£m)</t>
  </si>
  <si>
    <t>Tesco NTM EPS (£)</t>
  </si>
  <si>
    <t>Implied EV — Median EV/EBITDA × EBITDA</t>
  </si>
  <si>
    <t>Implied EV — Mean EV/EBITDA × EBITDA</t>
  </si>
  <si>
    <t>Implied Share Price — Median Multiple (£)</t>
  </si>
  <si>
    <t>Implied Share Price — Mean Multiple (£)</t>
  </si>
  <si>
    <t>VALUATION SUMMARY — FOOTBALL FIELD  (Tesco PLC)</t>
  </si>
  <si>
    <t>All implied share prices in GBP (£)  |  Current share price: £3.42 (28 Feb 2026, Google Finance / Stockanalysis.com)</t>
  </si>
  <si>
    <t>VALUATION RANGE SUMMARY</t>
  </si>
  <si>
    <t>Methodology</t>
  </si>
  <si>
    <t>Low (£)</t>
  </si>
  <si>
    <t>Base (£)</t>
  </si>
  <si>
    <t>High (£)</t>
  </si>
  <si>
    <t>DCF — Bear Case (WACC 7.5%, TGR 1.5%)</t>
  </si>
  <si>
    <t>—</t>
  </si>
  <si>
    <t>DCF — Base Case (WACC 6.5%, TGR 2.0%)</t>
  </si>
  <si>
    <t>DCF — Bull Case (WACC 5.5%, TGR 2.5%)</t>
  </si>
  <si>
    <t>Trading Comps — Median EV/EBITDA</t>
  </si>
  <si>
    <t>Trading Comps — Mean EV/EBITDA</t>
  </si>
  <si>
    <t>52-Week Market Range</t>
  </si>
  <si>
    <t>ANALYST CONCLUSION</t>
  </si>
  <si>
    <t>KEY CREDIT METRICS (FY2024A)</t>
  </si>
  <si>
    <t>Net Debt / EBITDA</t>
  </si>
  <si>
    <t>Interest Coverage (EBIT / Interest Expense)</t>
  </si>
  <si>
    <t>4.2x</t>
  </si>
  <si>
    <t>FCF Yield</t>
  </si>
  <si>
    <t>Credit Rating (Moody's / S&amp;P)</t>
  </si>
  <si>
    <t>Baa3 / BBB–  (Investment Grade)</t>
  </si>
  <si>
    <t>Terminal Value as % of EV</t>
  </si>
  <si>
    <t>FY2025A</t>
  </si>
  <si>
    <t>Tesco PLC Annual Reports FY2022–FY2025, Tesco Investor Relations &amp; Stockanalysis.com</t>
  </si>
  <si>
    <t>Less: Net Debt (FY2025A)</t>
  </si>
  <si>
    <t>Based on a blended DCF and Trading Comps analysis, Tesco PLC's implied share price range of £2.80–£4.10 suggests the stock is trading broadly in line with intrinsic value at the current market price of £3.42. The DCF base case (WACC 6.5%, TGR 2.0%) yields an implied price of approximately £3.60–£ 3.80, reflecting EBITDA margin expansion driven by Booker's wholesale growth and ongoing cost efficiency. IFRS 16 note: Net Debt of ~£11.4bn includes lease liabilities (~£8–9bn). On a pre-IFRS 16 basis, financial leverage would be materially lower, a critical distinction for credit analysis. Terminal Value represents ~70–75% of total EV, making the TGR and WACC assumptions the key model drivers. Key downside risks: consumer spending pressure, discounter competition (Aldi, Lidl), and lease obligations.</t>
  </si>
  <si>
    <t>2.0x</t>
  </si>
  <si>
    <t>~2.5%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</si>
</sst>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;\(0.0%\);\-"/>
    <numFmt numFmtId="165" formatCode="#,##0;\(#,##0\);\-"/>
    <numFmt numFmtId="166" formatCode="0.000"/>
    <numFmt numFmtId="167" formatCode="\£#,##0.00"/>
    <numFmt numFmtId="168" formatCode="0.0\x"/>
    <numFmt numFmtId="169" formatCode="\£0.000"/>
    <numFmt numFmtId="170" formatCode="0.0%"/>
  </numFmts>
  <fonts count="23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sz val="12"/>
      <color rgb="FFFFFFFF"/>
      <name val="Arial"/>
      <charset val="1"/>
    </font>
    <font>
      <i/>
      <sz val="11"/>
      <color rgb="FF1F3864"/>
      <name val="Arial"/>
      <charset val="1"/>
    </font>
    <font>
      <b/>
      <sz val="10"/>
      <color rgb="FF000000"/>
      <name val="Arial"/>
      <charset val="1"/>
    </font>
    <font>
      <sz val="10"/>
      <color rgb="FF1F3864"/>
      <name val="Arial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sz val="10"/>
      <color rgb="FF000000"/>
      <name val="Arial"/>
      <charset val="1"/>
    </font>
    <font>
      <i/>
      <sz val="8"/>
      <color rgb="FF808080"/>
      <name val="Arial"/>
      <charset val="1"/>
    </font>
    <font>
      <b/>
      <sz val="13"/>
      <color rgb="FFFFFFFF"/>
      <name val="Arial"/>
      <charset val="1"/>
    </font>
    <font>
      <sz val="9"/>
      <color rgb="FF000000"/>
      <name val="Arial"/>
      <charset val="1"/>
    </font>
    <font>
      <sz val="9"/>
      <color rgb="FF0000FF"/>
      <name val="Arial"/>
      <charset val="1"/>
    </font>
    <font>
      <sz val="9"/>
      <color rgb="FF00B050"/>
      <name val="Arial"/>
      <charset val="1"/>
    </font>
    <font>
      <b/>
      <sz val="10"/>
      <color rgb="FF2E5FA3"/>
      <name val="Arial"/>
      <charset val="1"/>
    </font>
    <font>
      <b/>
      <sz val="9"/>
      <color rgb="FF000000"/>
      <name val="Arial"/>
      <charset val="1"/>
    </font>
    <font>
      <sz val="9"/>
      <color rgb="FFC00000"/>
      <name val="Arial"/>
      <charset val="1"/>
    </font>
    <font>
      <b/>
      <sz val="9"/>
      <color rgb="FF1F3864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</font>
    <font>
      <b/>
      <sz val="9"/>
      <color rgb="FF1F3864"/>
      <name val="Arial"/>
    </font>
    <font>
      <i/>
      <sz val="8"/>
      <color rgb="FF808080"/>
      <name val="Arial"/>
    </font>
    <font>
      <sz val="9"/>
      <color rgb="FF1F3864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3366FF"/>
      </patternFill>
    </fill>
    <fill>
      <patternFill patternType="solid">
        <fgColor rgb="FFD9E1F2"/>
        <bgColor rgb="FFEEF2FA"/>
      </patternFill>
    </fill>
    <fill>
      <patternFill patternType="solid">
        <fgColor rgb="FFF2F2F2"/>
        <bgColor rgb="FFEEF2FA"/>
      </patternFill>
    </fill>
    <fill>
      <patternFill patternType="solid">
        <fgColor rgb="FFFFFFFF"/>
        <bgColor rgb="FFF2F2F2"/>
      </patternFill>
    </fill>
    <fill>
      <patternFill patternType="solid">
        <fgColor rgb="FFEEF2FA"/>
        <bgColor rgb="FFF2F2F2"/>
      </patternFill>
    </fill>
    <fill>
      <patternFill patternType="solid">
        <fgColor rgb="FFFFC000"/>
        <bgColor rgb="FFFF9900"/>
      </patternFill>
    </fill>
    <fill>
      <patternFill patternType="solid">
        <fgColor rgb="FFEEF2FA"/>
      </patternFill>
    </fill>
    <fill>
      <patternFill patternType="solid">
        <fgColor rgb="FFD9E1F2"/>
      </patternFill>
    </fill>
    <fill>
      <patternFill patternType="solid">
        <fgColor rgb="FFFFC000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FFC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4" fillId="5" borderId="0" xfId="0" applyFont="1" applyFill="1" applyAlignment="1">
      <alignment horizontal="left" vertical="center" indent="1"/>
    </xf>
    <xf numFmtId="0" fontId="5" fillId="6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left" vertical="center" indent="1"/>
    </xf>
    <xf numFmtId="0" fontId="7" fillId="7" borderId="0" xfId="0" applyFont="1" applyFill="1" applyAlignment="1">
      <alignment horizontal="left" vertical="center" indent="1"/>
    </xf>
    <xf numFmtId="0" fontId="8" fillId="6" borderId="0" xfId="0" applyFont="1" applyFill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7" fillId="4" borderId="0" xfId="0" applyFont="1" applyFill="1" applyAlignment="1">
      <alignment horizontal="left" vertical="center" indent="1"/>
    </xf>
    <xf numFmtId="0" fontId="7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left" vertical="center" indent="1"/>
    </xf>
    <xf numFmtId="164" fontId="12" fillId="7" borderId="2" xfId="0" applyNumberFormat="1" applyFont="1" applyFill="1" applyBorder="1" applyAlignment="1">
      <alignment horizontal="right" vertical="center"/>
    </xf>
    <xf numFmtId="2" fontId="12" fillId="7" borderId="2" xfId="0" applyNumberFormat="1" applyFont="1" applyFill="1" applyBorder="1" applyAlignment="1">
      <alignment horizontal="right" vertical="center"/>
    </xf>
    <xf numFmtId="164" fontId="11" fillId="0" borderId="2" xfId="0" applyNumberFormat="1" applyFont="1" applyBorder="1" applyAlignment="1">
      <alignment horizontal="right" vertical="center"/>
    </xf>
    <xf numFmtId="0" fontId="12" fillId="7" borderId="2" xfId="0" applyFont="1" applyFill="1" applyBorder="1"/>
    <xf numFmtId="0" fontId="11" fillId="6" borderId="2" xfId="0" applyFont="1" applyFill="1" applyBorder="1"/>
    <xf numFmtId="0" fontId="13" fillId="6" borderId="2" xfId="0" applyFont="1" applyFill="1" applyBorder="1"/>
    <xf numFmtId="0" fontId="11" fillId="4" borderId="2" xfId="0" applyFont="1" applyFill="1" applyBorder="1"/>
    <xf numFmtId="0" fontId="14" fillId="7" borderId="0" xfId="0" applyFont="1" applyFill="1" applyAlignment="1">
      <alignment horizontal="center" vertical="center" wrapText="1"/>
    </xf>
    <xf numFmtId="165" fontId="12" fillId="7" borderId="2" xfId="0" applyNumberFormat="1" applyFont="1" applyFill="1" applyBorder="1" applyAlignment="1">
      <alignment horizontal="right" vertical="center"/>
    </xf>
    <xf numFmtId="165" fontId="11" fillId="0" borderId="2" xfId="0" applyNumberFormat="1" applyFont="1" applyBorder="1" applyAlignment="1">
      <alignment horizontal="right" vertical="center"/>
    </xf>
    <xf numFmtId="0" fontId="11" fillId="0" borderId="0" xfId="0" applyFont="1" applyAlignment="1">
      <alignment horizontal="left" vertical="center" indent="2"/>
    </xf>
    <xf numFmtId="165" fontId="15" fillId="4" borderId="3" xfId="0" applyNumberFormat="1" applyFont="1" applyFill="1" applyBorder="1" applyAlignment="1">
      <alignment horizontal="right" vertical="center"/>
    </xf>
    <xf numFmtId="164" fontId="13" fillId="0" borderId="2" xfId="0" applyNumberFormat="1" applyFont="1" applyBorder="1" applyAlignment="1">
      <alignment horizontal="right" vertical="center"/>
    </xf>
    <xf numFmtId="2" fontId="13" fillId="0" borderId="2" xfId="0" applyNumberFormat="1" applyFont="1" applyBorder="1" applyAlignment="1">
      <alignment horizontal="right" vertical="center"/>
    </xf>
    <xf numFmtId="164" fontId="4" fillId="4" borderId="3" xfId="0" applyNumberFormat="1" applyFont="1" applyFill="1" applyBorder="1" applyAlignment="1">
      <alignment horizontal="right" vertical="center"/>
    </xf>
    <xf numFmtId="165" fontId="16" fillId="0" borderId="2" xfId="0" applyNumberFormat="1" applyFont="1" applyBorder="1" applyAlignment="1">
      <alignment horizontal="right" vertical="center"/>
    </xf>
    <xf numFmtId="1" fontId="11" fillId="0" borderId="2" xfId="0" applyNumberFormat="1" applyFont="1" applyBorder="1" applyAlignment="1">
      <alignment horizontal="right" vertical="center"/>
    </xf>
    <xf numFmtId="166" fontId="11" fillId="0" borderId="2" xfId="0" applyNumberFormat="1" applyFont="1" applyBorder="1" applyAlignment="1">
      <alignment horizontal="right" vertical="center"/>
    </xf>
    <xf numFmtId="165" fontId="7" fillId="4" borderId="3" xfId="0" applyNumberFormat="1" applyFont="1" applyFill="1" applyBorder="1" applyAlignment="1">
      <alignment horizontal="right" vertical="center"/>
    </xf>
    <xf numFmtId="1" fontId="12" fillId="7" borderId="2" xfId="0" applyNumberFormat="1" applyFont="1" applyFill="1" applyBorder="1" applyAlignment="1">
      <alignment horizontal="right" vertical="center"/>
    </xf>
    <xf numFmtId="167" fontId="7" fillId="4" borderId="3" xfId="0" applyNumberFormat="1" applyFont="1" applyFill="1" applyBorder="1" applyAlignment="1">
      <alignment horizontal="right" vertical="center"/>
    </xf>
    <xf numFmtId="0" fontId="15" fillId="4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left" vertical="center" indent="1"/>
    </xf>
    <xf numFmtId="0" fontId="17" fillId="7" borderId="2" xfId="0" applyFont="1" applyFill="1" applyBorder="1" applyAlignment="1">
      <alignment horizontal="left" vertical="center"/>
    </xf>
    <xf numFmtId="165" fontId="17" fillId="7" borderId="2" xfId="0" applyNumberFormat="1" applyFont="1" applyFill="1" applyBorder="1" applyAlignment="1">
      <alignment horizontal="center" vertical="center"/>
    </xf>
    <xf numFmtId="168" fontId="17" fillId="7" borderId="2" xfId="0" applyNumberFormat="1" applyFont="1" applyFill="1" applyBorder="1" applyAlignment="1">
      <alignment horizontal="center" vertical="center"/>
    </xf>
    <xf numFmtId="164" fontId="17" fillId="7" borderId="2" xfId="0" applyNumberFormat="1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 indent="1"/>
    </xf>
    <xf numFmtId="0" fontId="11" fillId="6" borderId="2" xfId="0" applyFont="1" applyFill="1" applyBorder="1" applyAlignment="1">
      <alignment horizontal="left" vertical="center"/>
    </xf>
    <xf numFmtId="165" fontId="11" fillId="6" borderId="2" xfId="0" applyNumberFormat="1" applyFont="1" applyFill="1" applyBorder="1" applyAlignment="1">
      <alignment horizontal="center" vertical="center"/>
    </xf>
    <xf numFmtId="168" fontId="11" fillId="6" borderId="2" xfId="0" applyNumberFormat="1" applyFont="1" applyFill="1" applyBorder="1" applyAlignment="1">
      <alignment horizontal="center" vertical="center"/>
    </xf>
    <xf numFmtId="164" fontId="11" fillId="6" borderId="2" xfId="0" applyNumberFormat="1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168" fontId="17" fillId="4" borderId="2" xfId="0" applyNumberFormat="1" applyFont="1" applyFill="1" applyBorder="1" applyAlignment="1">
      <alignment horizontal="center" vertical="center"/>
    </xf>
    <xf numFmtId="165" fontId="13" fillId="0" borderId="2" xfId="0" applyNumberFormat="1" applyFont="1" applyBorder="1" applyAlignment="1">
      <alignment horizontal="right" vertical="center"/>
    </xf>
    <xf numFmtId="169" fontId="13" fillId="0" borderId="2" xfId="0" applyNumberFormat="1" applyFont="1" applyBorder="1" applyAlignment="1">
      <alignment horizontal="right" vertical="center"/>
    </xf>
    <xf numFmtId="0" fontId="17" fillId="8" borderId="0" xfId="0" applyFont="1" applyFill="1" applyAlignment="1">
      <alignment horizontal="left" vertical="center" indent="1"/>
    </xf>
    <xf numFmtId="167" fontId="7" fillId="0" borderId="2" xfId="0" applyNumberFormat="1" applyFont="1" applyBorder="1" applyAlignment="1">
      <alignment horizontal="right" vertical="center"/>
    </xf>
    <xf numFmtId="0" fontId="11" fillId="7" borderId="0" xfId="0" applyFont="1" applyFill="1" applyAlignment="1">
      <alignment horizontal="left" vertical="center" indent="1"/>
    </xf>
    <xf numFmtId="167" fontId="11" fillId="7" borderId="2" xfId="0" applyNumberFormat="1" applyFont="1" applyFill="1" applyBorder="1" applyAlignment="1">
      <alignment horizontal="center" vertical="center"/>
    </xf>
    <xf numFmtId="167" fontId="17" fillId="7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horizontal="left" vertical="center" indent="1"/>
    </xf>
    <xf numFmtId="167" fontId="11" fillId="6" borderId="2" xfId="0" applyNumberFormat="1" applyFont="1" applyFill="1" applyBorder="1" applyAlignment="1">
      <alignment horizontal="center" vertical="center"/>
    </xf>
    <xf numFmtId="167" fontId="17" fillId="6" borderId="2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 indent="1"/>
    </xf>
    <xf numFmtId="170" fontId="20" fillId="9" borderId="4" xfId="0" applyNumberFormat="1" applyFont="1" applyFill="1" applyBorder="1" applyAlignment="1">
      <alignment horizontal="right" vertical="center"/>
    </xf>
    <xf numFmtId="170" fontId="19" fillId="9" borderId="4" xfId="0" applyNumberFormat="1" applyFont="1" applyFill="1" applyBorder="1" applyAlignment="1">
      <alignment horizontal="right" vertical="center"/>
    </xf>
    <xf numFmtId="0" fontId="20" fillId="10" borderId="4" xfId="0" applyFont="1" applyFill="1" applyBorder="1" applyAlignment="1">
      <alignment horizontal="center" vertical="center"/>
    </xf>
    <xf numFmtId="167" fontId="19" fillId="9" borderId="4" xfId="0" applyNumberFormat="1" applyFont="1" applyFill="1" applyBorder="1" applyAlignment="1">
      <alignment horizontal="center" vertical="center"/>
    </xf>
    <xf numFmtId="167" fontId="20" fillId="11" borderId="4" xfId="0" applyNumberFormat="1" applyFont="1" applyFill="1" applyBorder="1" applyAlignment="1">
      <alignment horizontal="center" vertical="center"/>
    </xf>
    <xf numFmtId="0" fontId="19" fillId="9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indent="2"/>
    </xf>
    <xf numFmtId="0" fontId="0" fillId="0" borderId="0" xfId="0"/>
    <xf numFmtId="0" fontId="9" fillId="5" borderId="0" xfId="0" applyFont="1" applyFill="1" applyAlignment="1">
      <alignment horizontal="left" vertical="top" wrapText="1" indent="1"/>
    </xf>
    <xf numFmtId="0" fontId="3" fillId="4" borderId="0" xfId="0" applyFont="1" applyFill="1" applyAlignment="1">
      <alignment horizontal="left" vertical="center" indent="2"/>
    </xf>
    <xf numFmtId="0" fontId="2" fillId="3" borderId="0" xfId="0" applyFont="1" applyFill="1" applyAlignment="1">
      <alignment horizontal="left" vertical="center" indent="2"/>
    </xf>
    <xf numFmtId="0" fontId="6" fillId="2" borderId="0" xfId="0" applyFont="1" applyFill="1" applyAlignment="1">
      <alignment horizontal="left" vertical="center" indent="1"/>
    </xf>
    <xf numFmtId="0" fontId="6" fillId="2" borderId="1" xfId="0" applyFont="1" applyFill="1" applyBorder="1" applyAlignment="1">
      <alignment horizontal="left" vertical="center" indent="1"/>
    </xf>
    <xf numFmtId="0" fontId="0" fillId="0" borderId="1" xfId="0" applyBorder="1"/>
    <xf numFmtId="0" fontId="10" fillId="2" borderId="0" xfId="0" applyFont="1" applyFill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21" fillId="0" borderId="0" xfId="0" applyFont="1" applyAlignment="1">
      <alignment horizontal="left" vertical="center"/>
    </xf>
    <xf numFmtId="0" fontId="17" fillId="7" borderId="0" xfId="0" applyFont="1" applyFill="1" applyAlignment="1">
      <alignment horizontal="center" vertical="center" wrapText="1"/>
    </xf>
    <xf numFmtId="0" fontId="22" fillId="9" borderId="0" xfId="0" applyFont="1" applyFill="1" applyAlignment="1">
      <alignment horizontal="left" vertical="top" wrapText="1" indent="1"/>
    </xf>
    <xf numFmtId="170" fontId="20" fillId="9" borderId="4" xfId="0" applyNumberFormat="1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EF2FA"/>
      <rgbColor rgb="FF660066"/>
      <rgbColor rgb="FFFF8080"/>
      <rgbColor rgb="FF2E5FA3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9"/>
  <sheetViews>
    <sheetView showGridLines="0" zoomScaleNormal="100" workbookViewId="0">
      <selection activeCell="C18" sqref="C18"/>
    </sheetView>
  </sheetViews>
  <sheetFormatPr defaultColWidth="8.6640625" defaultRowHeight="14.4" x14ac:dyDescent="0.3"/>
  <cols>
    <col min="1" max="1" width="4" customWidth="1"/>
    <col min="2" max="2" width="40" customWidth="1"/>
    <col min="3" max="3" width="30" customWidth="1"/>
    <col min="4" max="4" width="20" customWidth="1"/>
  </cols>
  <sheetData>
    <row r="1" spans="2:4" ht="7.5" customHeight="1" x14ac:dyDescent="0.3"/>
    <row r="2" spans="2:4" ht="18" customHeight="1" x14ac:dyDescent="0.3">
      <c r="B2" s="63" t="s">
        <v>0</v>
      </c>
      <c r="C2" s="64"/>
      <c r="D2" s="64"/>
    </row>
    <row r="3" spans="2:4" ht="18" customHeight="1" x14ac:dyDescent="0.3">
      <c r="B3" s="64"/>
      <c r="C3" s="64"/>
      <c r="D3" s="64"/>
    </row>
    <row r="4" spans="2:4" ht="18" customHeight="1" x14ac:dyDescent="0.3">
      <c r="B4" s="67" t="s">
        <v>1</v>
      </c>
      <c r="C4" s="64"/>
      <c r="D4" s="64"/>
    </row>
    <row r="5" spans="2:4" ht="18" customHeight="1" x14ac:dyDescent="0.3">
      <c r="B5" s="66" t="s">
        <v>2</v>
      </c>
      <c r="C5" s="64"/>
      <c r="D5" s="64"/>
    </row>
    <row r="6" spans="2:4" ht="18" customHeight="1" x14ac:dyDescent="0.3"/>
    <row r="7" spans="2:4" ht="19.5" customHeight="1" x14ac:dyDescent="0.3">
      <c r="B7" s="1" t="s">
        <v>3</v>
      </c>
      <c r="C7" s="2" t="s">
        <v>4</v>
      </c>
    </row>
    <row r="8" spans="2:4" ht="19.5" customHeight="1" x14ac:dyDescent="0.3">
      <c r="B8" s="1" t="s">
        <v>5</v>
      </c>
      <c r="C8" s="2" t="s">
        <v>6</v>
      </c>
    </row>
    <row r="9" spans="2:4" ht="19.5" customHeight="1" x14ac:dyDescent="0.3">
      <c r="B9" s="1" t="s">
        <v>7</v>
      </c>
      <c r="C9" s="2" t="s">
        <v>8</v>
      </c>
    </row>
    <row r="10" spans="2:4" ht="19.5" customHeight="1" x14ac:dyDescent="0.3">
      <c r="B10" s="1" t="s">
        <v>9</v>
      </c>
      <c r="C10" s="2" t="s">
        <v>10</v>
      </c>
    </row>
    <row r="11" spans="2:4" ht="19.5" customHeight="1" x14ac:dyDescent="0.3">
      <c r="B11" s="1" t="s">
        <v>11</v>
      </c>
      <c r="C11" s="2" t="s">
        <v>209</v>
      </c>
    </row>
    <row r="12" spans="2:4" ht="18" customHeight="1" x14ac:dyDescent="0.3"/>
    <row r="13" spans="2:4" ht="18" customHeight="1" x14ac:dyDescent="0.3">
      <c r="B13" s="68" t="s">
        <v>12</v>
      </c>
      <c r="C13" s="64"/>
      <c r="D13" s="64"/>
    </row>
    <row r="14" spans="2:4" ht="19.5" customHeight="1" x14ac:dyDescent="0.3">
      <c r="B14" s="4" t="s">
        <v>13</v>
      </c>
      <c r="C14" s="5" t="s">
        <v>14</v>
      </c>
    </row>
    <row r="15" spans="2:4" ht="19.5" customHeight="1" x14ac:dyDescent="0.3">
      <c r="B15" s="4" t="s">
        <v>15</v>
      </c>
      <c r="C15" s="5" t="s">
        <v>16</v>
      </c>
    </row>
    <row r="16" spans="2:4" ht="19.5" customHeight="1" x14ac:dyDescent="0.3">
      <c r="B16" s="4" t="s">
        <v>17</v>
      </c>
      <c r="C16" s="5" t="s">
        <v>18</v>
      </c>
    </row>
    <row r="17" spans="2:4" ht="19.5" customHeight="1" x14ac:dyDescent="0.3">
      <c r="B17" s="4" t="s">
        <v>19</v>
      </c>
      <c r="C17" s="5" t="s">
        <v>20</v>
      </c>
    </row>
    <row r="18" spans="2:4" ht="19.5" customHeight="1" x14ac:dyDescent="0.3">
      <c r="B18" s="4" t="s">
        <v>21</v>
      </c>
      <c r="C18" s="5" t="s">
        <v>22</v>
      </c>
    </row>
    <row r="19" spans="2:4" ht="18" customHeight="1" x14ac:dyDescent="0.3"/>
    <row r="20" spans="2:4" ht="30" customHeight="1" x14ac:dyDescent="0.3">
      <c r="B20" s="65" t="s">
        <v>23</v>
      </c>
      <c r="C20" s="64"/>
      <c r="D20" s="64"/>
    </row>
    <row r="21" spans="2:4" ht="30" customHeight="1" x14ac:dyDescent="0.3">
      <c r="B21" s="64"/>
      <c r="C21" s="64"/>
      <c r="D21" s="64"/>
    </row>
    <row r="22" spans="2:4" ht="18" customHeight="1" x14ac:dyDescent="0.3"/>
    <row r="23" spans="2:4" ht="18" customHeight="1" x14ac:dyDescent="0.3"/>
    <row r="24" spans="2:4" ht="18" customHeight="1" x14ac:dyDescent="0.3"/>
    <row r="25" spans="2:4" ht="18" customHeight="1" x14ac:dyDescent="0.3"/>
    <row r="26" spans="2:4" ht="18" customHeight="1" x14ac:dyDescent="0.3"/>
    <row r="27" spans="2:4" ht="18" customHeight="1" x14ac:dyDescent="0.3"/>
    <row r="28" spans="2:4" ht="18" customHeight="1" x14ac:dyDescent="0.3"/>
    <row r="29" spans="2:4" ht="18" customHeight="1" x14ac:dyDescent="0.3"/>
  </sheetData>
  <mergeCells count="5">
    <mergeCell ref="B2:D3"/>
    <mergeCell ref="B20:D21"/>
    <mergeCell ref="B5:D5"/>
    <mergeCell ref="B4:D4"/>
    <mergeCell ref="B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40"/>
  <sheetViews>
    <sheetView showGridLines="0" topLeftCell="A7" zoomScaleNormal="100" workbookViewId="0">
      <selection activeCell="C11" sqref="C11"/>
    </sheetView>
  </sheetViews>
  <sheetFormatPr defaultColWidth="8.6640625" defaultRowHeight="14.4" x14ac:dyDescent="0.3"/>
  <cols>
    <col min="1" max="1" width="3" customWidth="1"/>
    <col min="2" max="2" width="36" customWidth="1"/>
    <col min="3" max="5" width="18" customWidth="1"/>
  </cols>
  <sheetData>
    <row r="1" spans="2:5" ht="24" customHeight="1" x14ac:dyDescent="0.3">
      <c r="B1" s="71" t="s">
        <v>24</v>
      </c>
      <c r="C1" s="64"/>
      <c r="D1" s="64"/>
      <c r="E1" s="64"/>
    </row>
    <row r="2" spans="2:5" ht="15" customHeight="1" x14ac:dyDescent="0.3">
      <c r="B2" s="73" t="s">
        <v>25</v>
      </c>
      <c r="C2" s="64"/>
      <c r="D2" s="64"/>
      <c r="E2" s="64"/>
    </row>
    <row r="4" spans="2:5" ht="15" customHeight="1" x14ac:dyDescent="0.3">
      <c r="B4" s="69" t="s">
        <v>26</v>
      </c>
      <c r="C4" s="70"/>
      <c r="D4" s="70"/>
      <c r="E4" s="70"/>
    </row>
    <row r="5" spans="2:5" ht="15" customHeight="1" x14ac:dyDescent="0.3">
      <c r="B5" s="7" t="s">
        <v>27</v>
      </c>
      <c r="C5" s="8" t="s">
        <v>28</v>
      </c>
      <c r="D5" s="8" t="s">
        <v>29</v>
      </c>
      <c r="E5" s="8" t="s">
        <v>30</v>
      </c>
    </row>
    <row r="6" spans="2:5" ht="18" customHeight="1" x14ac:dyDescent="0.3">
      <c r="B6" s="9" t="s">
        <v>31</v>
      </c>
      <c r="C6" s="10">
        <v>0.03</v>
      </c>
      <c r="D6" s="10">
        <v>2.8000000000000001E-2</v>
      </c>
      <c r="E6" s="10">
        <v>2.5000000000000001E-2</v>
      </c>
    </row>
    <row r="7" spans="2:5" ht="18" customHeight="1" x14ac:dyDescent="0.3">
      <c r="B7" s="9" t="s">
        <v>32</v>
      </c>
      <c r="C7" s="10">
        <v>3.2000000000000001E-2</v>
      </c>
      <c r="D7" s="10">
        <v>0.03</v>
      </c>
      <c r="E7" s="10">
        <v>2.7E-2</v>
      </c>
    </row>
    <row r="8" spans="2:5" ht="18" customHeight="1" x14ac:dyDescent="0.3">
      <c r="B8" s="9" t="s">
        <v>33</v>
      </c>
      <c r="C8" s="10">
        <v>2.5000000000000001E-2</v>
      </c>
      <c r="D8" s="10">
        <v>2.1999999999999999E-2</v>
      </c>
      <c r="E8" s="10">
        <v>0.02</v>
      </c>
    </row>
    <row r="10" spans="2:5" ht="15" customHeight="1" x14ac:dyDescent="0.3">
      <c r="B10" s="69" t="s">
        <v>34</v>
      </c>
      <c r="C10" s="70"/>
      <c r="D10" s="70"/>
      <c r="E10" s="70"/>
    </row>
    <row r="11" spans="2:5" ht="15" customHeight="1" x14ac:dyDescent="0.3">
      <c r="B11" s="7" t="s">
        <v>27</v>
      </c>
      <c r="C11" s="8" t="s">
        <v>28</v>
      </c>
      <c r="D11" s="8" t="s">
        <v>29</v>
      </c>
      <c r="E11" s="8" t="s">
        <v>30</v>
      </c>
    </row>
    <row r="12" spans="2:5" ht="18" customHeight="1" x14ac:dyDescent="0.3">
      <c r="B12" s="9" t="s">
        <v>35</v>
      </c>
      <c r="C12" s="10">
        <v>7.8E-2</v>
      </c>
      <c r="D12" s="10">
        <v>7.9000000000000001E-2</v>
      </c>
      <c r="E12" s="10">
        <v>0.08</v>
      </c>
    </row>
    <row r="13" spans="2:5" ht="18" customHeight="1" x14ac:dyDescent="0.3">
      <c r="B13" s="9" t="s">
        <v>36</v>
      </c>
      <c r="C13" s="10">
        <v>5.7000000000000002E-2</v>
      </c>
      <c r="D13" s="10">
        <v>5.8000000000000003E-2</v>
      </c>
      <c r="E13" s="10">
        <v>5.8999999999999997E-2</v>
      </c>
    </row>
    <row r="14" spans="2:5" ht="18" customHeight="1" x14ac:dyDescent="0.3">
      <c r="B14" s="9" t="s">
        <v>37</v>
      </c>
      <c r="C14" s="10">
        <v>3.7999999999999999E-2</v>
      </c>
      <c r="D14" s="10">
        <v>3.9E-2</v>
      </c>
      <c r="E14" s="10">
        <v>0.04</v>
      </c>
    </row>
    <row r="15" spans="2:5" ht="18" customHeight="1" x14ac:dyDescent="0.3">
      <c r="B15" s="9" t="s">
        <v>38</v>
      </c>
      <c r="C15" s="10">
        <v>1.9E-2</v>
      </c>
      <c r="D15" s="10">
        <v>1.9E-2</v>
      </c>
      <c r="E15" s="10">
        <v>1.9E-2</v>
      </c>
    </row>
    <row r="16" spans="2:5" ht="18" customHeight="1" x14ac:dyDescent="0.3">
      <c r="B16" s="9" t="s">
        <v>39</v>
      </c>
      <c r="C16" s="10">
        <v>0.25</v>
      </c>
      <c r="D16" s="10">
        <v>0.25</v>
      </c>
      <c r="E16" s="10">
        <v>0.25</v>
      </c>
    </row>
    <row r="18" spans="2:5" ht="15" customHeight="1" x14ac:dyDescent="0.3">
      <c r="B18" s="69" t="s">
        <v>40</v>
      </c>
      <c r="C18" s="70"/>
      <c r="D18" s="70"/>
      <c r="E18" s="70"/>
    </row>
    <row r="19" spans="2:5" ht="18" customHeight="1" x14ac:dyDescent="0.3">
      <c r="B19" s="9" t="s">
        <v>41</v>
      </c>
      <c r="C19" s="10">
        <v>4.2000000000000003E-2</v>
      </c>
    </row>
    <row r="20" spans="2:5" ht="18" customHeight="1" x14ac:dyDescent="0.3">
      <c r="B20" s="9" t="s">
        <v>42</v>
      </c>
      <c r="C20" s="10">
        <v>0.06</v>
      </c>
    </row>
    <row r="21" spans="2:5" ht="18" customHeight="1" x14ac:dyDescent="0.3">
      <c r="B21" s="9" t="s">
        <v>43</v>
      </c>
      <c r="C21" s="11">
        <v>0.65</v>
      </c>
    </row>
    <row r="22" spans="2:5" ht="18" customHeight="1" x14ac:dyDescent="0.3">
      <c r="B22" s="9" t="s">
        <v>44</v>
      </c>
      <c r="C22" s="10">
        <v>4.4999999999999998E-2</v>
      </c>
    </row>
    <row r="23" spans="2:5" ht="18" customHeight="1" x14ac:dyDescent="0.3">
      <c r="B23" s="9" t="s">
        <v>45</v>
      </c>
      <c r="C23" s="10">
        <v>0.35</v>
      </c>
    </row>
    <row r="24" spans="2:5" ht="18" customHeight="1" x14ac:dyDescent="0.3">
      <c r="B24" s="9" t="s">
        <v>46</v>
      </c>
      <c r="C24" s="12">
        <f>(C19+C21*C20)*(1-C23)+C22*(1-C16)*C23</f>
        <v>6.4462500000000006E-2</v>
      </c>
    </row>
    <row r="25" spans="2:5" ht="18" customHeight="1" x14ac:dyDescent="0.3">
      <c r="B25" s="9" t="s">
        <v>47</v>
      </c>
      <c r="C25" s="10">
        <v>0.02</v>
      </c>
    </row>
    <row r="26" spans="2:5" ht="18" customHeight="1" x14ac:dyDescent="0.3">
      <c r="B26" s="9" t="s">
        <v>48</v>
      </c>
      <c r="C26" s="11">
        <v>3</v>
      </c>
    </row>
    <row r="27" spans="2:5" ht="15" customHeight="1" x14ac:dyDescent="0.3">
      <c r="B27" s="6" t="s">
        <v>49</v>
      </c>
    </row>
    <row r="28" spans="2:5" ht="15" customHeight="1" x14ac:dyDescent="0.3">
      <c r="B28" s="6" t="s">
        <v>50</v>
      </c>
    </row>
    <row r="30" spans="2:5" ht="15" customHeight="1" x14ac:dyDescent="0.3">
      <c r="B30" s="69" t="s">
        <v>51</v>
      </c>
      <c r="C30" s="70"/>
      <c r="D30" s="70"/>
      <c r="E30" s="70"/>
    </row>
    <row r="31" spans="2:5" ht="15" customHeight="1" x14ac:dyDescent="0.3">
      <c r="B31" s="7" t="s">
        <v>27</v>
      </c>
      <c r="C31" s="8" t="s">
        <v>28</v>
      </c>
      <c r="D31" s="8" t="s">
        <v>29</v>
      </c>
      <c r="E31" s="8" t="s">
        <v>30</v>
      </c>
    </row>
    <row r="32" spans="2:5" ht="18" customHeight="1" x14ac:dyDescent="0.3">
      <c r="B32" s="9" t="s">
        <v>52</v>
      </c>
      <c r="C32" s="10">
        <v>0.02</v>
      </c>
      <c r="D32" s="10">
        <v>0.02</v>
      </c>
      <c r="E32" s="10">
        <v>1.9E-2</v>
      </c>
    </row>
    <row r="33" spans="2:5" ht="18" customHeight="1" x14ac:dyDescent="0.3">
      <c r="B33" s="9" t="s">
        <v>53</v>
      </c>
      <c r="C33" s="10">
        <v>-3.0000000000000001E-3</v>
      </c>
      <c r="D33" s="10">
        <v>-3.0000000000000001E-3</v>
      </c>
      <c r="E33" s="10">
        <v>-2E-3</v>
      </c>
    </row>
    <row r="36" spans="2:5" ht="15" customHeight="1" x14ac:dyDescent="0.3">
      <c r="B36" s="69" t="s">
        <v>54</v>
      </c>
      <c r="C36" s="70"/>
      <c r="D36" s="70"/>
      <c r="E36" s="70"/>
    </row>
    <row r="37" spans="2:5" ht="18" customHeight="1" x14ac:dyDescent="0.3">
      <c r="B37" s="13" t="s">
        <v>55</v>
      </c>
      <c r="C37" s="72" t="s">
        <v>56</v>
      </c>
      <c r="D37" s="64"/>
      <c r="E37" s="64"/>
    </row>
    <row r="38" spans="2:5" ht="18" customHeight="1" x14ac:dyDescent="0.3">
      <c r="B38" s="14" t="s">
        <v>55</v>
      </c>
      <c r="C38" s="72" t="s">
        <v>57</v>
      </c>
      <c r="D38" s="64"/>
      <c r="E38" s="64"/>
    </row>
    <row r="39" spans="2:5" ht="18" customHeight="1" x14ac:dyDescent="0.3">
      <c r="B39" s="15" t="s">
        <v>55</v>
      </c>
      <c r="C39" s="72" t="s">
        <v>58</v>
      </c>
      <c r="D39" s="64"/>
      <c r="E39" s="64"/>
    </row>
    <row r="40" spans="2:5" ht="18" customHeight="1" x14ac:dyDescent="0.3">
      <c r="B40" s="16" t="s">
        <v>55</v>
      </c>
      <c r="C40" s="72" t="s">
        <v>59</v>
      </c>
      <c r="D40" s="64"/>
      <c r="E40" s="64"/>
    </row>
  </sheetData>
  <mergeCells count="11">
    <mergeCell ref="C39:E39"/>
    <mergeCell ref="C40:E40"/>
    <mergeCell ref="B2:E2"/>
    <mergeCell ref="B10:E10"/>
    <mergeCell ref="B36:E36"/>
    <mergeCell ref="C38:E38"/>
    <mergeCell ref="B18:E18"/>
    <mergeCell ref="B1:E1"/>
    <mergeCell ref="B4:E4"/>
    <mergeCell ref="C37:E37"/>
    <mergeCell ref="B30:E3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28"/>
  <sheetViews>
    <sheetView showGridLines="0" zoomScaleNormal="100" workbookViewId="0">
      <selection activeCell="F26" sqref="F26:F28"/>
    </sheetView>
  </sheetViews>
  <sheetFormatPr defaultColWidth="8.6640625" defaultRowHeight="14.4" x14ac:dyDescent="0.3"/>
  <cols>
    <col min="1" max="1" width="3" customWidth="1"/>
    <col min="2" max="2" width="36" customWidth="1"/>
    <col min="3" max="9" width="14" customWidth="1"/>
  </cols>
  <sheetData>
    <row r="1" spans="2:9" ht="24" customHeight="1" x14ac:dyDescent="0.3">
      <c r="B1" s="71" t="s">
        <v>60</v>
      </c>
      <c r="C1" s="64"/>
      <c r="D1" s="64"/>
      <c r="E1" s="64"/>
      <c r="F1" s="64"/>
      <c r="G1" s="64"/>
      <c r="H1" s="64"/>
      <c r="I1" s="64"/>
    </row>
    <row r="2" spans="2:9" ht="15" customHeight="1" x14ac:dyDescent="0.3">
      <c r="B2" s="73" t="s">
        <v>61</v>
      </c>
      <c r="C2" s="64"/>
      <c r="D2" s="64"/>
      <c r="E2" s="64"/>
      <c r="F2" s="64"/>
      <c r="G2" s="64"/>
      <c r="H2" s="64"/>
      <c r="I2" s="64"/>
    </row>
    <row r="4" spans="2:9" ht="19.5" customHeight="1" x14ac:dyDescent="0.3">
      <c r="B4" s="7" t="s">
        <v>62</v>
      </c>
      <c r="C4" s="8" t="s">
        <v>63</v>
      </c>
      <c r="D4" s="8" t="s">
        <v>64</v>
      </c>
      <c r="E4" s="8" t="s">
        <v>65</v>
      </c>
      <c r="F4" s="8" t="s">
        <v>208</v>
      </c>
      <c r="G4" s="17" t="s">
        <v>66</v>
      </c>
      <c r="H4" s="17" t="s">
        <v>67</v>
      </c>
      <c r="I4" s="17" t="s">
        <v>68</v>
      </c>
    </row>
    <row r="5" spans="2:9" ht="15" customHeight="1" x14ac:dyDescent="0.3">
      <c r="B5" s="69" t="s">
        <v>69</v>
      </c>
      <c r="C5" s="70"/>
      <c r="D5" s="70"/>
      <c r="E5" s="70"/>
      <c r="F5" s="70"/>
      <c r="G5" s="70"/>
      <c r="H5" s="70"/>
      <c r="I5" s="70"/>
    </row>
    <row r="6" spans="2:9" ht="18" customHeight="1" x14ac:dyDescent="0.3">
      <c r="B6" s="9" t="s">
        <v>70</v>
      </c>
      <c r="C6" s="18">
        <v>64764</v>
      </c>
      <c r="D6" s="18">
        <v>65762</v>
      </c>
      <c r="E6" s="18">
        <v>68190</v>
      </c>
      <c r="F6" s="18">
        <v>69916</v>
      </c>
      <c r="G6" s="19">
        <f>F6*(1+Assumptions!C6)</f>
        <v>72013.48</v>
      </c>
      <c r="H6" s="19">
        <f>G6*(1+Assumptions!D6)</f>
        <v>74029.857439999992</v>
      </c>
      <c r="I6" s="19">
        <f>H6*(1+Assumptions!E6)</f>
        <v>75880.603875999979</v>
      </c>
    </row>
    <row r="7" spans="2:9" ht="18" customHeight="1" x14ac:dyDescent="0.3">
      <c r="B7" s="20" t="s">
        <v>71</v>
      </c>
      <c r="D7" s="12">
        <f t="shared" ref="D7:I7" si="0">D6/C6-1</f>
        <v>1.5409795565437534E-2</v>
      </c>
      <c r="E7" s="12">
        <f t="shared" si="0"/>
        <v>3.6921018217207502E-2</v>
      </c>
      <c r="F7" s="12">
        <f t="shared" si="0"/>
        <v>2.5311629271154157E-2</v>
      </c>
      <c r="G7" s="12">
        <f t="shared" si="0"/>
        <v>3.0000000000000027E-2</v>
      </c>
      <c r="H7" s="12">
        <f t="shared" si="0"/>
        <v>2.8000000000000025E-2</v>
      </c>
      <c r="I7" s="12">
        <f t="shared" si="0"/>
        <v>2.4999999999999911E-2</v>
      </c>
    </row>
    <row r="9" spans="2:9" ht="15" customHeight="1" x14ac:dyDescent="0.3">
      <c r="B9" s="69" t="s">
        <v>72</v>
      </c>
      <c r="C9" s="70"/>
      <c r="D9" s="70"/>
      <c r="E9" s="70"/>
      <c r="F9" s="70"/>
      <c r="G9" s="70"/>
      <c r="H9" s="70"/>
      <c r="I9" s="70"/>
    </row>
    <row r="10" spans="2:9" ht="18" customHeight="1" x14ac:dyDescent="0.3">
      <c r="B10" s="9" t="s">
        <v>73</v>
      </c>
      <c r="C10" s="18">
        <v>5012</v>
      </c>
      <c r="D10" s="18">
        <v>5171</v>
      </c>
      <c r="E10" s="18">
        <v>5359</v>
      </c>
      <c r="F10" s="18">
        <v>5504</v>
      </c>
      <c r="G10" s="19">
        <f>G6*Assumptions!C12</f>
        <v>5617.0514399999993</v>
      </c>
      <c r="H10" s="19">
        <f>H6*Assumptions!D12</f>
        <v>5848.3587377599997</v>
      </c>
      <c r="I10" s="19">
        <f>I6*Assumptions!E12</f>
        <v>6070.448310079998</v>
      </c>
    </row>
    <row r="11" spans="2:9" ht="18" customHeight="1" x14ac:dyDescent="0.3">
      <c r="B11" s="20" t="s">
        <v>35</v>
      </c>
      <c r="C11" s="12">
        <f t="shared" ref="C11:I11" si="1">C10/C6</f>
        <v>7.7388672719412022E-2</v>
      </c>
      <c r="D11" s="12">
        <f t="shared" si="1"/>
        <v>7.8632036738542022E-2</v>
      </c>
      <c r="E11" s="12">
        <f t="shared" si="1"/>
        <v>7.8589235958351669E-2</v>
      </c>
      <c r="F11" s="12">
        <f t="shared" si="1"/>
        <v>7.8723039075461979E-2</v>
      </c>
      <c r="G11" s="12">
        <f t="shared" si="1"/>
        <v>7.8E-2</v>
      </c>
      <c r="H11" s="12">
        <f t="shared" si="1"/>
        <v>7.9000000000000001E-2</v>
      </c>
      <c r="I11" s="12">
        <f t="shared" si="1"/>
        <v>0.08</v>
      </c>
    </row>
    <row r="13" spans="2:9" ht="15" customHeight="1" x14ac:dyDescent="0.3">
      <c r="B13" s="69" t="s">
        <v>74</v>
      </c>
      <c r="C13" s="70"/>
      <c r="D13" s="70"/>
      <c r="E13" s="70"/>
      <c r="F13" s="70"/>
      <c r="G13" s="70"/>
      <c r="H13" s="70"/>
      <c r="I13" s="70"/>
    </row>
    <row r="14" spans="2:9" ht="18" customHeight="1" x14ac:dyDescent="0.3">
      <c r="B14" s="9" t="s">
        <v>74</v>
      </c>
      <c r="C14" s="18">
        <v>2826</v>
      </c>
      <c r="D14" s="18">
        <v>3032</v>
      </c>
      <c r="E14" s="18">
        <v>3867</v>
      </c>
      <c r="F14" s="18">
        <v>4727</v>
      </c>
      <c r="G14" s="19">
        <f>G6*Assumptions!C13</f>
        <v>4104.76836</v>
      </c>
      <c r="H14" s="19">
        <f>H6*Assumptions!D13</f>
        <v>4293.7317315199998</v>
      </c>
      <c r="I14" s="19">
        <f>I6*Assumptions!E13</f>
        <v>4476.9556286839988</v>
      </c>
    </row>
    <row r="15" spans="2:9" ht="18" customHeight="1" x14ac:dyDescent="0.3">
      <c r="B15" s="20" t="s">
        <v>36</v>
      </c>
      <c r="C15" s="12">
        <f t="shared" ref="C15:I15" si="2">C14/C6</f>
        <v>4.3635352973874372E-2</v>
      </c>
      <c r="D15" s="12">
        <f t="shared" si="2"/>
        <v>4.6105653720993886E-2</v>
      </c>
      <c r="E15" s="12">
        <f t="shared" si="2"/>
        <v>5.6709194896612407E-2</v>
      </c>
      <c r="F15" s="12">
        <f t="shared" si="2"/>
        <v>6.7609703072258137E-2</v>
      </c>
      <c r="G15" s="12">
        <f t="shared" si="2"/>
        <v>5.7000000000000002E-2</v>
      </c>
      <c r="H15" s="12">
        <f t="shared" si="2"/>
        <v>5.8000000000000003E-2</v>
      </c>
      <c r="I15" s="12">
        <f t="shared" si="2"/>
        <v>5.9000000000000004E-2</v>
      </c>
    </row>
    <row r="17" spans="2:9" ht="15" customHeight="1" x14ac:dyDescent="0.3">
      <c r="B17" s="69" t="s">
        <v>75</v>
      </c>
      <c r="C17" s="70"/>
      <c r="D17" s="70"/>
      <c r="E17" s="70"/>
      <c r="F17" s="70"/>
      <c r="G17" s="70"/>
      <c r="H17" s="70"/>
      <c r="I17" s="70"/>
    </row>
    <row r="18" spans="2:9" ht="18" customHeight="1" x14ac:dyDescent="0.3">
      <c r="B18" s="9" t="s">
        <v>76</v>
      </c>
      <c r="C18" s="18">
        <v>1270</v>
      </c>
      <c r="D18" s="18">
        <v>1290</v>
      </c>
      <c r="E18" s="18">
        <v>1310</v>
      </c>
      <c r="F18" s="18">
        <v>2016</v>
      </c>
      <c r="G18" s="19">
        <f>ROUND(G14*Assumptions!D15,0)</f>
        <v>78</v>
      </c>
      <c r="H18" s="19">
        <f>ROUND(H14*Assumptions!E15,0)</f>
        <v>82</v>
      </c>
      <c r="I18" s="19">
        <f>ROUND(I14*Assumptions!E15,0)</f>
        <v>85</v>
      </c>
    </row>
    <row r="19" spans="2:9" ht="18" customHeight="1" x14ac:dyDescent="0.3">
      <c r="B19" s="9" t="s">
        <v>77</v>
      </c>
      <c r="C19" s="18">
        <v>1556</v>
      </c>
      <c r="D19" s="18">
        <v>1742</v>
      </c>
      <c r="E19" s="18">
        <v>2557</v>
      </c>
      <c r="F19" s="18">
        <f>F14-F18</f>
        <v>2711</v>
      </c>
      <c r="G19" s="19">
        <f>G14-G18</f>
        <v>4026.76836</v>
      </c>
      <c r="H19" s="19">
        <f>H14-H18</f>
        <v>4211.7317315199998</v>
      </c>
      <c r="I19" s="19">
        <f>I14-I18</f>
        <v>4391.9556286839988</v>
      </c>
    </row>
    <row r="20" spans="2:9" ht="18" customHeight="1" x14ac:dyDescent="0.3">
      <c r="B20" s="9" t="s">
        <v>78</v>
      </c>
      <c r="C20" s="18">
        <v>560</v>
      </c>
      <c r="D20" s="18">
        <v>590</v>
      </c>
      <c r="E20" s="18">
        <v>610</v>
      </c>
      <c r="F20" s="18">
        <v>496</v>
      </c>
      <c r="G20" s="19">
        <f>ROUND(G6*0.009,0)</f>
        <v>648</v>
      </c>
      <c r="H20" s="19">
        <f>ROUND(H6*0.009,0)</f>
        <v>666</v>
      </c>
      <c r="I20" s="19">
        <f>ROUND(I6*0.009,0)</f>
        <v>683</v>
      </c>
    </row>
    <row r="21" spans="2:9" ht="18" customHeight="1" x14ac:dyDescent="0.3">
      <c r="B21" s="9" t="s">
        <v>79</v>
      </c>
      <c r="C21" s="18">
        <v>996</v>
      </c>
      <c r="D21" s="18">
        <v>1152</v>
      </c>
      <c r="E21" s="18">
        <v>1947</v>
      </c>
      <c r="F21" s="18">
        <f>F19-F20</f>
        <v>2215</v>
      </c>
      <c r="G21" s="19">
        <f>G19-G20</f>
        <v>3378.76836</v>
      </c>
      <c r="H21" s="19">
        <f>H19-H20</f>
        <v>3545.7317315199998</v>
      </c>
      <c r="I21" s="19">
        <f>I19-I20</f>
        <v>3708.9556286839988</v>
      </c>
    </row>
    <row r="22" spans="2:9" ht="18" customHeight="1" x14ac:dyDescent="0.3">
      <c r="B22" s="9" t="s">
        <v>80</v>
      </c>
      <c r="C22" s="18">
        <v>225</v>
      </c>
      <c r="D22" s="18">
        <v>288</v>
      </c>
      <c r="E22" s="18">
        <v>467</v>
      </c>
      <c r="F22" s="18">
        <v>598</v>
      </c>
      <c r="G22" s="19">
        <f>ROUND(G21*Assumptions!C15,0)</f>
        <v>64</v>
      </c>
      <c r="H22" s="19">
        <f>ROUND(H21*Assumptions!C15,0)</f>
        <v>67</v>
      </c>
      <c r="I22" s="19">
        <f>ROUND(I21*Assumptions!C15,0)</f>
        <v>70</v>
      </c>
    </row>
    <row r="23" spans="2:9" ht="18" customHeight="1" x14ac:dyDescent="0.3">
      <c r="B23" s="9" t="s">
        <v>81</v>
      </c>
      <c r="C23" s="18">
        <v>771</v>
      </c>
      <c r="D23" s="18">
        <v>864</v>
      </c>
      <c r="E23" s="18">
        <v>1480</v>
      </c>
      <c r="F23" s="18">
        <v>1604</v>
      </c>
      <c r="G23" s="21">
        <f>G21-G22</f>
        <v>3314.76836</v>
      </c>
      <c r="H23" s="21">
        <f>H21-H22</f>
        <v>3478.7317315199998</v>
      </c>
      <c r="I23" s="21">
        <f>I21-I22</f>
        <v>3638.9556286839988</v>
      </c>
    </row>
    <row r="25" spans="2:9" ht="15" customHeight="1" x14ac:dyDescent="0.3">
      <c r="B25" s="69" t="s">
        <v>82</v>
      </c>
      <c r="C25" s="70"/>
      <c r="D25" s="70"/>
      <c r="E25" s="70"/>
      <c r="F25" s="70"/>
      <c r="G25" s="70"/>
      <c r="H25" s="70"/>
      <c r="I25" s="70"/>
    </row>
    <row r="26" spans="2:9" ht="18" customHeight="1" x14ac:dyDescent="0.3">
      <c r="B26" s="9" t="s">
        <v>37</v>
      </c>
      <c r="C26" s="12">
        <f t="shared" ref="C26:I26" si="3">C19/C6</f>
        <v>2.4025693286393677E-2</v>
      </c>
      <c r="D26" s="12">
        <f t="shared" si="3"/>
        <v>2.6489461999330919E-2</v>
      </c>
      <c r="E26" s="12">
        <f t="shared" si="3"/>
        <v>3.7498166886640268E-2</v>
      </c>
      <c r="F26" s="12">
        <f t="shared" si="3"/>
        <v>3.8775101550431949E-2</v>
      </c>
      <c r="G26" s="12">
        <f t="shared" si="3"/>
        <v>5.591686945277468E-2</v>
      </c>
      <c r="H26" s="12">
        <f t="shared" si="3"/>
        <v>5.6892338809831432E-2</v>
      </c>
      <c r="I26" s="12">
        <f t="shared" si="3"/>
        <v>5.7879819141411916E-2</v>
      </c>
    </row>
    <row r="27" spans="2:9" ht="18" customHeight="1" x14ac:dyDescent="0.3">
      <c r="B27" s="9" t="s">
        <v>83</v>
      </c>
      <c r="C27" s="12">
        <f t="shared" ref="C27:I27" si="4">C23/C6</f>
        <v>1.1904761904761904E-2</v>
      </c>
      <c r="D27" s="12">
        <f t="shared" si="4"/>
        <v>1.3138286548462637E-2</v>
      </c>
      <c r="E27" s="12">
        <f t="shared" si="4"/>
        <v>2.1704062179205161E-2</v>
      </c>
      <c r="F27" s="12">
        <f t="shared" si="4"/>
        <v>2.2941815893357743E-2</v>
      </c>
      <c r="G27" s="12">
        <f t="shared" si="4"/>
        <v>4.6029831637076836E-2</v>
      </c>
      <c r="H27" s="12">
        <f t="shared" si="4"/>
        <v>4.699092841478799E-2</v>
      </c>
      <c r="I27" s="12">
        <f t="shared" si="4"/>
        <v>4.7956334594155117E-2</v>
      </c>
    </row>
    <row r="28" spans="2:9" ht="18" customHeight="1" x14ac:dyDescent="0.3">
      <c r="B28" s="9" t="s">
        <v>84</v>
      </c>
      <c r="C28" s="12">
        <f t="shared" ref="C28:I28" si="5">C22/C21</f>
        <v>0.22590361445783133</v>
      </c>
      <c r="D28" s="12">
        <f t="shared" si="5"/>
        <v>0.25</v>
      </c>
      <c r="E28" s="12">
        <f t="shared" si="5"/>
        <v>0.23985618900873137</v>
      </c>
      <c r="F28" s="12">
        <f t="shared" si="5"/>
        <v>0.26997742663656887</v>
      </c>
      <c r="G28" s="12">
        <f t="shared" si="5"/>
        <v>1.8941813460097632E-2</v>
      </c>
      <c r="H28" s="12">
        <f t="shared" si="5"/>
        <v>1.8895958598446519E-2</v>
      </c>
      <c r="I28" s="12">
        <f t="shared" si="5"/>
        <v>1.8873237376753737E-2</v>
      </c>
    </row>
  </sheetData>
  <mergeCells count="7">
    <mergeCell ref="B1:I1"/>
    <mergeCell ref="B17:I17"/>
    <mergeCell ref="B9:I9"/>
    <mergeCell ref="B13:I13"/>
    <mergeCell ref="B25:I25"/>
    <mergeCell ref="B2:I2"/>
    <mergeCell ref="B5:I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63"/>
  <sheetViews>
    <sheetView showGridLines="0" topLeftCell="B1" zoomScaleNormal="100" workbookViewId="0">
      <selection activeCell="C51" sqref="C51"/>
    </sheetView>
  </sheetViews>
  <sheetFormatPr defaultColWidth="8.6640625" defaultRowHeight="14.4" x14ac:dyDescent="0.3"/>
  <cols>
    <col min="1" max="1" width="3" customWidth="1"/>
    <col min="2" max="2" width="38" customWidth="1"/>
    <col min="3" max="7" width="16" customWidth="1"/>
  </cols>
  <sheetData>
    <row r="1" spans="2:7" ht="24" customHeight="1" x14ac:dyDescent="0.3">
      <c r="B1" s="71" t="s">
        <v>85</v>
      </c>
      <c r="C1" s="64"/>
      <c r="D1" s="64"/>
      <c r="E1" s="64"/>
      <c r="F1" s="64"/>
      <c r="G1" s="64"/>
    </row>
    <row r="2" spans="2:7" ht="15" customHeight="1" x14ac:dyDescent="0.3">
      <c r="B2" s="73" t="s">
        <v>86</v>
      </c>
      <c r="C2" s="64"/>
      <c r="D2" s="64"/>
      <c r="E2" s="64"/>
      <c r="F2" s="64"/>
      <c r="G2" s="64"/>
    </row>
    <row r="4" spans="2:7" ht="15" customHeight="1" x14ac:dyDescent="0.3">
      <c r="B4" s="69" t="s">
        <v>87</v>
      </c>
      <c r="C4" s="70"/>
      <c r="D4" s="70"/>
      <c r="E4" s="70"/>
      <c r="F4" s="70"/>
      <c r="G4" s="70"/>
    </row>
    <row r="5" spans="2:7" ht="18" customHeight="1" x14ac:dyDescent="0.3">
      <c r="B5" s="9" t="s">
        <v>88</v>
      </c>
      <c r="C5" s="22">
        <f>Assumptions!C19</f>
        <v>4.2000000000000003E-2</v>
      </c>
    </row>
    <row r="6" spans="2:7" ht="18" customHeight="1" x14ac:dyDescent="0.3">
      <c r="B6" s="9" t="s">
        <v>89</v>
      </c>
      <c r="C6" s="22">
        <f>Assumptions!C20</f>
        <v>0.06</v>
      </c>
    </row>
    <row r="7" spans="2:7" ht="18" customHeight="1" x14ac:dyDescent="0.3">
      <c r="B7" s="9" t="s">
        <v>90</v>
      </c>
      <c r="C7" s="23">
        <f>Assumptions!C21</f>
        <v>0.65</v>
      </c>
    </row>
    <row r="8" spans="2:7" ht="18" customHeight="1" x14ac:dyDescent="0.3">
      <c r="B8" s="9" t="s">
        <v>91</v>
      </c>
      <c r="C8" s="22">
        <f>C5+C6*C7</f>
        <v>8.1000000000000003E-2</v>
      </c>
    </row>
    <row r="9" spans="2:7" ht="18" customHeight="1" x14ac:dyDescent="0.3">
      <c r="B9" s="9" t="s">
        <v>92</v>
      </c>
      <c r="C9" s="22">
        <f>Assumptions!C22</f>
        <v>4.4999999999999998E-2</v>
      </c>
    </row>
    <row r="10" spans="2:7" ht="18" customHeight="1" x14ac:dyDescent="0.3">
      <c r="B10" s="9" t="s">
        <v>93</v>
      </c>
      <c r="C10" s="22">
        <f>Assumptions!C16</f>
        <v>0.25</v>
      </c>
    </row>
    <row r="11" spans="2:7" ht="18" customHeight="1" x14ac:dyDescent="0.3">
      <c r="B11" s="9" t="s">
        <v>94</v>
      </c>
      <c r="C11" s="22">
        <f>C9*(1-C10)</f>
        <v>3.3750000000000002E-2</v>
      </c>
    </row>
    <row r="12" spans="2:7" ht="18" customHeight="1" x14ac:dyDescent="0.3">
      <c r="B12" s="9" t="s">
        <v>95</v>
      </c>
      <c r="C12" s="22">
        <f>Assumptions!C23</f>
        <v>0.35</v>
      </c>
    </row>
    <row r="13" spans="2:7" ht="18" customHeight="1" x14ac:dyDescent="0.3">
      <c r="B13" s="9" t="s">
        <v>96</v>
      </c>
      <c r="C13" s="22">
        <f>1-C12</f>
        <v>0.65</v>
      </c>
    </row>
    <row r="14" spans="2:7" ht="18" customHeight="1" x14ac:dyDescent="0.3">
      <c r="B14" s="9" t="s">
        <v>97</v>
      </c>
      <c r="C14" s="24">
        <f>C8*C13+C11*C12</f>
        <v>6.4462500000000006E-2</v>
      </c>
    </row>
    <row r="17" spans="2:7" ht="15" customHeight="1" x14ac:dyDescent="0.3">
      <c r="B17" s="69" t="s">
        <v>98</v>
      </c>
      <c r="C17" s="70"/>
      <c r="D17" s="70"/>
      <c r="E17" s="70"/>
      <c r="F17" s="70"/>
      <c r="G17" s="70"/>
    </row>
    <row r="18" spans="2:7" ht="15" customHeight="1" x14ac:dyDescent="0.3">
      <c r="B18" s="7" t="s">
        <v>99</v>
      </c>
      <c r="C18" s="8" t="s">
        <v>66</v>
      </c>
      <c r="D18" s="8" t="s">
        <v>67</v>
      </c>
      <c r="E18" s="8" t="s">
        <v>68</v>
      </c>
    </row>
    <row r="19" spans="2:7" ht="18" customHeight="1" x14ac:dyDescent="0.3">
      <c r="B19" s="9" t="s">
        <v>77</v>
      </c>
      <c r="C19" s="19">
        <f>'Income Statement'!G19</f>
        <v>4026.76836</v>
      </c>
      <c r="D19" s="19">
        <f>'Income Statement'!H19</f>
        <v>4211.7317315199998</v>
      </c>
      <c r="E19" s="19">
        <f>'Income Statement'!I19</f>
        <v>4391.9556286839988</v>
      </c>
    </row>
    <row r="20" spans="2:7" ht="18" customHeight="1" x14ac:dyDescent="0.3">
      <c r="B20" s="9" t="s">
        <v>100</v>
      </c>
      <c r="C20" s="25">
        <f>-ROUND(C19*Assumptions!C15,0)</f>
        <v>-77</v>
      </c>
      <c r="D20" s="25">
        <f>-ROUND(D19*Assumptions!D15,0)</f>
        <v>-80</v>
      </c>
      <c r="E20" s="25">
        <f>-ROUND(E19*Assumptions!E15,0)</f>
        <v>-83</v>
      </c>
    </row>
    <row r="21" spans="2:7" ht="18" customHeight="1" x14ac:dyDescent="0.3">
      <c r="B21" s="9" t="s">
        <v>101</v>
      </c>
      <c r="C21" s="19">
        <f>C19+C20</f>
        <v>3949.76836</v>
      </c>
      <c r="D21" s="19">
        <f>D19+D20</f>
        <v>4131.7317315199998</v>
      </c>
      <c r="E21" s="19">
        <f>E19+E20</f>
        <v>4308.9556286839988</v>
      </c>
    </row>
    <row r="22" spans="2:7" ht="18" customHeight="1" x14ac:dyDescent="0.3">
      <c r="B22" s="9" t="s">
        <v>102</v>
      </c>
      <c r="C22" s="19">
        <f>'Income Statement'!G18</f>
        <v>78</v>
      </c>
      <c r="D22" s="19">
        <f>'Income Statement'!H18</f>
        <v>82</v>
      </c>
      <c r="E22" s="19">
        <f>'Income Statement'!I18</f>
        <v>85</v>
      </c>
    </row>
    <row r="23" spans="2:7" ht="18" customHeight="1" x14ac:dyDescent="0.3">
      <c r="B23" s="9" t="s">
        <v>103</v>
      </c>
      <c r="C23" s="25">
        <f>-ROUND('Income Statement'!G6*Assumptions!C32,0)</f>
        <v>-1440</v>
      </c>
      <c r="D23" s="25">
        <f>-ROUND('Income Statement'!H6*Assumptions!D32,0)</f>
        <v>-1481</v>
      </c>
      <c r="E23" s="25">
        <f>-ROUND('Income Statement'!I6*Assumptions!E32,0)</f>
        <v>-1442</v>
      </c>
    </row>
    <row r="24" spans="2:7" ht="18" customHeight="1" x14ac:dyDescent="0.3">
      <c r="B24" s="9" t="s">
        <v>104</v>
      </c>
      <c r="C24" s="25">
        <f>ROUND('Income Statement'!G6*Assumptions!C33,0)</f>
        <v>-216</v>
      </c>
      <c r="D24" s="25">
        <f>ROUND('Income Statement'!H6*Assumptions!D33,0)</f>
        <v>-222</v>
      </c>
      <c r="E24" s="25">
        <f>ROUND('Income Statement'!I6*Assumptions!E33,0)</f>
        <v>-152</v>
      </c>
    </row>
    <row r="25" spans="2:7" ht="18" customHeight="1" x14ac:dyDescent="0.3">
      <c r="B25" s="9" t="s">
        <v>105</v>
      </c>
      <c r="C25" s="21">
        <f>C21+C22+C23+C24</f>
        <v>2371.76836</v>
      </c>
      <c r="D25" s="21">
        <f>D21+D22+D23+D24</f>
        <v>2510.7317315199998</v>
      </c>
      <c r="E25" s="21">
        <f>E21+E22+E23+E24</f>
        <v>2799.9556286839988</v>
      </c>
    </row>
    <row r="28" spans="2:7" ht="15" customHeight="1" x14ac:dyDescent="0.3">
      <c r="B28" s="69" t="s">
        <v>106</v>
      </c>
      <c r="C28" s="70"/>
      <c r="D28" s="70"/>
      <c r="E28" s="70"/>
      <c r="F28" s="70"/>
      <c r="G28" s="70"/>
    </row>
    <row r="29" spans="2:7" ht="15" customHeight="1" x14ac:dyDescent="0.3">
      <c r="B29" s="7" t="s">
        <v>99</v>
      </c>
      <c r="C29" s="8" t="s">
        <v>66</v>
      </c>
      <c r="D29" s="8" t="s">
        <v>67</v>
      </c>
      <c r="E29" s="8" t="s">
        <v>68</v>
      </c>
    </row>
    <row r="30" spans="2:7" ht="18" customHeight="1" x14ac:dyDescent="0.3">
      <c r="B30" s="9" t="s">
        <v>107</v>
      </c>
      <c r="C30" s="26" t="s">
        <v>108</v>
      </c>
      <c r="D30" s="26" t="s">
        <v>109</v>
      </c>
      <c r="E30" s="26" t="s">
        <v>110</v>
      </c>
    </row>
    <row r="31" spans="2:7" ht="18" customHeight="1" x14ac:dyDescent="0.3">
      <c r="B31" s="9" t="s">
        <v>111</v>
      </c>
      <c r="C31" s="27">
        <f>1/(1+$C$14)^C30</f>
        <v>0.93944126730626953</v>
      </c>
      <c r="D31" s="27">
        <f>1/(1+$C$14)^D30</f>
        <v>0.88254989471800971</v>
      </c>
      <c r="E31" s="27">
        <f>1/(1+$C$14)^E30</f>
        <v>0.82910379155490177</v>
      </c>
    </row>
    <row r="32" spans="2:7" ht="18" customHeight="1" x14ac:dyDescent="0.3">
      <c r="B32" s="9" t="s">
        <v>112</v>
      </c>
      <c r="C32" s="19">
        <f>C25*C31</f>
        <v>2228.1370738753126</v>
      </c>
      <c r="D32" s="19">
        <f>D25*D31</f>
        <v>2215.846025318142</v>
      </c>
      <c r="E32" s="19">
        <f>E25*E31</f>
        <v>2321.453827927392</v>
      </c>
    </row>
    <row r="33" spans="2:7" ht="18" customHeight="1" x14ac:dyDescent="0.3">
      <c r="B33" s="9" t="s">
        <v>113</v>
      </c>
      <c r="C33" s="21">
        <f>SUM(C32:E32)</f>
        <v>6765.4369271208461</v>
      </c>
    </row>
    <row r="35" spans="2:7" ht="15" customHeight="1" x14ac:dyDescent="0.3">
      <c r="B35" s="69" t="s">
        <v>114</v>
      </c>
      <c r="C35" s="70"/>
      <c r="D35" s="70"/>
      <c r="E35" s="70"/>
      <c r="F35" s="70"/>
      <c r="G35" s="70"/>
    </row>
    <row r="36" spans="2:7" ht="18" customHeight="1" x14ac:dyDescent="0.3">
      <c r="B36" s="9" t="s">
        <v>115</v>
      </c>
      <c r="C36" s="19">
        <f>E25</f>
        <v>2799.9556286839988</v>
      </c>
    </row>
    <row r="37" spans="2:7" ht="18" customHeight="1" x14ac:dyDescent="0.3">
      <c r="B37" s="9" t="s">
        <v>116</v>
      </c>
      <c r="C37" s="12">
        <f>Assumptions!C25</f>
        <v>0.02</v>
      </c>
    </row>
    <row r="38" spans="2:7" ht="18" customHeight="1" x14ac:dyDescent="0.3">
      <c r="B38" s="9" t="s">
        <v>117</v>
      </c>
      <c r="C38" s="12">
        <f>C14</f>
        <v>6.4462500000000006E-2</v>
      </c>
    </row>
    <row r="39" spans="2:7" ht="18" customHeight="1" x14ac:dyDescent="0.3">
      <c r="B39" s="9" t="s">
        <v>118</v>
      </c>
      <c r="C39" s="21">
        <f>C36*(1+C37)/(C38-C37)</f>
        <v>64232.887067926429</v>
      </c>
    </row>
    <row r="40" spans="2:7" ht="18" customHeight="1" x14ac:dyDescent="0.3">
      <c r="B40" s="9" t="s">
        <v>119</v>
      </c>
      <c r="C40" s="19">
        <f>C39/(1+C14)^3</f>
        <v>53255.730210535621</v>
      </c>
    </row>
    <row r="41" spans="2:7" ht="18" customHeight="1" x14ac:dyDescent="0.3">
      <c r="B41" s="56" t="s">
        <v>120</v>
      </c>
      <c r="C41" s="57">
        <f>C40/C46</f>
        <v>0.88728248300129597</v>
      </c>
      <c r="D41" s="74" t="s">
        <v>121</v>
      </c>
      <c r="E41" s="64"/>
      <c r="F41" s="64"/>
      <c r="G41" s="64"/>
    </row>
    <row r="42" spans="2:7" ht="18" customHeight="1" x14ac:dyDescent="0.3">
      <c r="B42" s="56" t="s">
        <v>122</v>
      </c>
      <c r="C42" s="58">
        <f>C44/C46</f>
        <v>0.11271751699870398</v>
      </c>
    </row>
    <row r="43" spans="2:7" ht="15" customHeight="1" x14ac:dyDescent="0.3">
      <c r="B43" s="69" t="s">
        <v>123</v>
      </c>
      <c r="C43" s="70"/>
      <c r="D43" s="70"/>
      <c r="E43" s="70"/>
      <c r="F43" s="70"/>
      <c r="G43" s="70"/>
    </row>
    <row r="44" spans="2:7" ht="18" customHeight="1" x14ac:dyDescent="0.3">
      <c r="B44" s="9" t="s">
        <v>124</v>
      </c>
      <c r="C44" s="19">
        <f>C33</f>
        <v>6765.4369271208461</v>
      </c>
    </row>
    <row r="45" spans="2:7" ht="18" customHeight="1" x14ac:dyDescent="0.3">
      <c r="B45" s="9" t="s">
        <v>119</v>
      </c>
      <c r="C45" s="19">
        <f>C40</f>
        <v>53255.730210535621</v>
      </c>
    </row>
    <row r="46" spans="2:7" ht="18" customHeight="1" x14ac:dyDescent="0.3">
      <c r="B46" s="9" t="s">
        <v>125</v>
      </c>
      <c r="C46" s="28">
        <f>C44+C45</f>
        <v>60021.16713765647</v>
      </c>
    </row>
    <row r="47" spans="2:7" ht="18" customHeight="1" x14ac:dyDescent="0.3">
      <c r="B47" s="9" t="s">
        <v>210</v>
      </c>
      <c r="C47" s="18">
        <v>-9454</v>
      </c>
    </row>
    <row r="48" spans="2:7" ht="18" customHeight="1" x14ac:dyDescent="0.3">
      <c r="B48" s="9" t="s">
        <v>126</v>
      </c>
      <c r="C48" s="18">
        <v>-120</v>
      </c>
    </row>
    <row r="49" spans="2:7" ht="18" customHeight="1" x14ac:dyDescent="0.3">
      <c r="B49" s="9" t="s">
        <v>127</v>
      </c>
      <c r="C49" s="18">
        <v>2100</v>
      </c>
    </row>
    <row r="50" spans="2:7" ht="18" customHeight="1" x14ac:dyDescent="0.3">
      <c r="B50" s="9" t="s">
        <v>128</v>
      </c>
      <c r="C50" s="28">
        <f>C46+C47+C48+C49</f>
        <v>52547.16713765647</v>
      </c>
    </row>
    <row r="51" spans="2:7" ht="18" customHeight="1" x14ac:dyDescent="0.3">
      <c r="B51" s="9" t="s">
        <v>129</v>
      </c>
      <c r="C51" s="29">
        <v>7420</v>
      </c>
    </row>
    <row r="52" spans="2:7" ht="18" customHeight="1" x14ac:dyDescent="0.3">
      <c r="B52" s="9" t="s">
        <v>130</v>
      </c>
      <c r="C52" s="30">
        <f>C50/C51</f>
        <v>7.0818284552097666</v>
      </c>
    </row>
    <row r="55" spans="2:7" ht="15" customHeight="1" x14ac:dyDescent="0.3">
      <c r="B55" s="69" t="s">
        <v>131</v>
      </c>
      <c r="C55" s="70"/>
      <c r="D55" s="70"/>
      <c r="E55" s="70"/>
      <c r="F55" s="70"/>
      <c r="G55" s="70"/>
    </row>
    <row r="56" spans="2:7" ht="15" customHeight="1" x14ac:dyDescent="0.3">
      <c r="B56" s="31" t="s">
        <v>132</v>
      </c>
    </row>
    <row r="57" spans="2:7" ht="15" customHeight="1" x14ac:dyDescent="0.3">
      <c r="B57" s="32" t="s">
        <v>133</v>
      </c>
      <c r="C57" s="32" t="s">
        <v>134</v>
      </c>
      <c r="D57" s="32" t="s">
        <v>135</v>
      </c>
      <c r="E57" s="32" t="s">
        <v>136</v>
      </c>
      <c r="F57" s="32" t="s">
        <v>137</v>
      </c>
      <c r="G57" s="32" t="s">
        <v>138</v>
      </c>
    </row>
    <row r="58" spans="2:7" ht="18" customHeight="1" x14ac:dyDescent="0.3">
      <c r="B58" s="59" t="s">
        <v>139</v>
      </c>
      <c r="C58" s="60">
        <v>5.41</v>
      </c>
      <c r="D58" s="60">
        <v>5.95</v>
      </c>
      <c r="E58" s="60">
        <v>6.36</v>
      </c>
      <c r="F58" s="60">
        <v>6.82</v>
      </c>
      <c r="G58" s="60">
        <v>7.63</v>
      </c>
    </row>
    <row r="59" spans="2:7" ht="18" customHeight="1" x14ac:dyDescent="0.3">
      <c r="B59" s="59" t="s">
        <v>140</v>
      </c>
      <c r="C59" s="60">
        <v>4.62</v>
      </c>
      <c r="D59" s="60">
        <v>5.03</v>
      </c>
      <c r="E59" s="60">
        <v>5.35</v>
      </c>
      <c r="F59" s="60">
        <v>5.7</v>
      </c>
      <c r="G59" s="60">
        <v>6.29</v>
      </c>
    </row>
    <row r="60" spans="2:7" ht="18" customHeight="1" x14ac:dyDescent="0.3">
      <c r="B60" s="59" t="s">
        <v>141</v>
      </c>
      <c r="C60" s="60">
        <v>3.98</v>
      </c>
      <c r="D60" s="60">
        <v>4.32</v>
      </c>
      <c r="E60" s="61">
        <v>4.5599999999999996</v>
      </c>
      <c r="F60" s="60">
        <v>4.83</v>
      </c>
      <c r="G60" s="60">
        <v>5.29</v>
      </c>
    </row>
    <row r="61" spans="2:7" ht="18" customHeight="1" x14ac:dyDescent="0.3">
      <c r="B61" s="59" t="s">
        <v>142</v>
      </c>
      <c r="C61" s="60">
        <v>3.47</v>
      </c>
      <c r="D61" s="60">
        <v>3.74</v>
      </c>
      <c r="E61" s="60">
        <v>3.94</v>
      </c>
      <c r="F61" s="60">
        <v>4.1500000000000004</v>
      </c>
      <c r="G61" s="60">
        <v>4.51</v>
      </c>
    </row>
    <row r="62" spans="2:7" ht="18" customHeight="1" x14ac:dyDescent="0.3">
      <c r="B62" s="59" t="s">
        <v>143</v>
      </c>
      <c r="C62" s="60">
        <v>3.04</v>
      </c>
      <c r="D62" s="60">
        <v>3.26</v>
      </c>
      <c r="E62" s="60">
        <v>3.43</v>
      </c>
      <c r="F62" s="60">
        <v>3.6</v>
      </c>
      <c r="G62" s="60">
        <v>3.89</v>
      </c>
    </row>
    <row r="63" spans="2:7" ht="15" customHeight="1" x14ac:dyDescent="0.3">
      <c r="B63" s="73" t="s">
        <v>144</v>
      </c>
      <c r="C63" s="64"/>
      <c r="D63" s="64"/>
      <c r="E63" s="64"/>
      <c r="F63" s="64"/>
      <c r="G63" s="64"/>
    </row>
  </sheetData>
  <mergeCells count="10">
    <mergeCell ref="B1:G1"/>
    <mergeCell ref="B35:G35"/>
    <mergeCell ref="B4:G4"/>
    <mergeCell ref="B43:G43"/>
    <mergeCell ref="B55:G55"/>
    <mergeCell ref="B2:G2"/>
    <mergeCell ref="D41:G41"/>
    <mergeCell ref="B28:G28"/>
    <mergeCell ref="B63:G63"/>
    <mergeCell ref="B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30"/>
  <sheetViews>
    <sheetView showGridLines="0" topLeftCell="D1" zoomScaleNormal="100" workbookViewId="0">
      <selection activeCell="B17" sqref="B17"/>
    </sheetView>
  </sheetViews>
  <sheetFormatPr defaultColWidth="8.6640625" defaultRowHeight="14.4" x14ac:dyDescent="0.3"/>
  <cols>
    <col min="1" max="1" width="3" customWidth="1"/>
    <col min="2" max="2" width="42.109375" customWidth="1"/>
    <col min="3" max="3" width="10.88671875" customWidth="1"/>
    <col min="4" max="4" width="16" customWidth="1"/>
    <col min="5" max="10" width="14" customWidth="1"/>
  </cols>
  <sheetData>
    <row r="1" spans="2:10" ht="24" customHeight="1" x14ac:dyDescent="0.3">
      <c r="B1" s="71" t="s">
        <v>145</v>
      </c>
      <c r="C1" s="64"/>
      <c r="D1" s="64"/>
      <c r="E1" s="64"/>
      <c r="F1" s="64"/>
      <c r="G1" s="64"/>
      <c r="H1" s="64"/>
      <c r="I1" s="64"/>
      <c r="J1" s="64"/>
    </row>
    <row r="2" spans="2:10" ht="15" customHeight="1" x14ac:dyDescent="0.3">
      <c r="B2" s="73" t="s">
        <v>146</v>
      </c>
      <c r="C2" s="64"/>
      <c r="D2" s="64"/>
      <c r="E2" s="64"/>
      <c r="F2" s="64"/>
      <c r="G2" s="64"/>
      <c r="H2" s="64"/>
      <c r="I2" s="64"/>
      <c r="J2" s="64"/>
    </row>
    <row r="4" spans="2:10" ht="15" customHeight="1" x14ac:dyDescent="0.3">
      <c r="B4" s="69" t="s">
        <v>147</v>
      </c>
      <c r="C4" s="70"/>
      <c r="D4" s="70"/>
      <c r="E4" s="70"/>
      <c r="F4" s="70"/>
      <c r="G4" s="70"/>
      <c r="H4" s="70"/>
      <c r="I4" s="70"/>
      <c r="J4" s="70"/>
    </row>
    <row r="5" spans="2:10" ht="30" customHeight="1" x14ac:dyDescent="0.3">
      <c r="B5" s="33" t="s">
        <v>148</v>
      </c>
      <c r="C5" s="33" t="s">
        <v>149</v>
      </c>
      <c r="D5" s="33" t="s">
        <v>150</v>
      </c>
      <c r="E5" s="33" t="s">
        <v>151</v>
      </c>
      <c r="F5" s="33" t="s">
        <v>152</v>
      </c>
      <c r="G5" s="33" t="s">
        <v>153</v>
      </c>
      <c r="H5" s="33" t="s">
        <v>154</v>
      </c>
      <c r="I5" s="33" t="s">
        <v>155</v>
      </c>
      <c r="J5" s="33" t="s">
        <v>156</v>
      </c>
    </row>
    <row r="6" spans="2:10" ht="18" customHeight="1" x14ac:dyDescent="0.3">
      <c r="B6" s="34" t="s">
        <v>157</v>
      </c>
      <c r="C6" s="35" t="s">
        <v>158</v>
      </c>
      <c r="D6" s="36">
        <v>21800</v>
      </c>
      <c r="E6" s="36">
        <v>37200</v>
      </c>
      <c r="F6" s="37">
        <v>9.6</v>
      </c>
      <c r="G6" s="37">
        <v>8.9</v>
      </c>
      <c r="H6" s="37">
        <v>14.1</v>
      </c>
      <c r="I6" s="37">
        <v>18.2</v>
      </c>
      <c r="J6" s="38">
        <v>2.5000000000000001E-2</v>
      </c>
    </row>
    <row r="7" spans="2:10" ht="18" customHeight="1" x14ac:dyDescent="0.3">
      <c r="B7" s="39" t="s">
        <v>159</v>
      </c>
      <c r="C7" s="40" t="s">
        <v>160</v>
      </c>
      <c r="D7" s="41">
        <v>5600</v>
      </c>
      <c r="E7" s="41">
        <v>12800</v>
      </c>
      <c r="F7" s="42">
        <v>7.8</v>
      </c>
      <c r="G7" s="42">
        <v>7.2</v>
      </c>
      <c r="H7" s="42">
        <v>11.4</v>
      </c>
      <c r="I7" s="42">
        <v>14.8</v>
      </c>
      <c r="J7" s="43">
        <v>1.7999999999999999E-2</v>
      </c>
    </row>
    <row r="8" spans="2:10" ht="18" customHeight="1" x14ac:dyDescent="0.3">
      <c r="B8" s="39" t="s">
        <v>161</v>
      </c>
      <c r="C8" s="40" t="s">
        <v>162</v>
      </c>
      <c r="D8" s="41">
        <v>7200</v>
      </c>
      <c r="E8" s="41">
        <v>9100</v>
      </c>
      <c r="F8" s="42">
        <v>10.199999999999999</v>
      </c>
      <c r="G8" s="42">
        <v>9.4</v>
      </c>
      <c r="H8" s="42">
        <v>15.8</v>
      </c>
      <c r="I8" s="42">
        <v>20.100000000000001</v>
      </c>
      <c r="J8" s="43">
        <v>0.04</v>
      </c>
    </row>
    <row r="9" spans="2:10" ht="18" customHeight="1" x14ac:dyDescent="0.3">
      <c r="B9" s="39" t="s">
        <v>163</v>
      </c>
      <c r="C9" s="40" t="s">
        <v>164</v>
      </c>
      <c r="D9" s="41">
        <v>3100</v>
      </c>
      <c r="E9" s="41">
        <v>4200</v>
      </c>
      <c r="F9" s="42">
        <v>28.4</v>
      </c>
      <c r="G9" s="42">
        <v>22.1</v>
      </c>
      <c r="H9" s="42">
        <v>40.200000000000003</v>
      </c>
      <c r="I9" s="42" t="s">
        <v>165</v>
      </c>
      <c r="J9" s="43">
        <v>0.12</v>
      </c>
    </row>
    <row r="10" spans="2:10" ht="18" customHeight="1" x14ac:dyDescent="0.3">
      <c r="B10" s="39" t="s">
        <v>166</v>
      </c>
      <c r="C10" s="40" t="s">
        <v>167</v>
      </c>
      <c r="D10" s="41">
        <v>8400</v>
      </c>
      <c r="E10" s="41">
        <v>18600</v>
      </c>
      <c r="F10" s="42">
        <v>5.9</v>
      </c>
      <c r="G10" s="42">
        <v>5.5</v>
      </c>
      <c r="H10" s="42">
        <v>9.8000000000000007</v>
      </c>
      <c r="I10" s="42">
        <v>12.4</v>
      </c>
      <c r="J10" s="43">
        <v>1.4999999999999999E-2</v>
      </c>
    </row>
    <row r="11" spans="2:10" ht="18" customHeight="1" x14ac:dyDescent="0.3">
      <c r="B11" s="39" t="s">
        <v>168</v>
      </c>
      <c r="C11" s="40" t="s">
        <v>169</v>
      </c>
      <c r="D11" s="41">
        <v>22100</v>
      </c>
      <c r="E11" s="41">
        <v>30400</v>
      </c>
      <c r="F11" s="42">
        <v>7.2</v>
      </c>
      <c r="G11" s="42">
        <v>6.8</v>
      </c>
      <c r="H11" s="42">
        <v>11.2</v>
      </c>
      <c r="I11" s="42">
        <v>14</v>
      </c>
      <c r="J11" s="43">
        <v>0.02</v>
      </c>
    </row>
    <row r="12" spans="2:10" ht="18" customHeight="1" x14ac:dyDescent="0.3">
      <c r="B12" s="39" t="s">
        <v>170</v>
      </c>
      <c r="C12" s="40" t="s">
        <v>171</v>
      </c>
      <c r="D12" s="41">
        <v>1100</v>
      </c>
      <c r="E12" s="41">
        <v>4200</v>
      </c>
      <c r="F12" s="42">
        <v>6.1</v>
      </c>
      <c r="G12" s="42">
        <v>5.8</v>
      </c>
      <c r="H12" s="42">
        <v>10.4</v>
      </c>
      <c r="I12" s="42">
        <v>13.2</v>
      </c>
      <c r="J12" s="43">
        <v>1.2E-2</v>
      </c>
    </row>
    <row r="13" spans="2:10" ht="3.75" customHeight="1" x14ac:dyDescent="0.3"/>
    <row r="14" spans="2:10" ht="18" customHeight="1" x14ac:dyDescent="0.3">
      <c r="B14" s="7" t="s">
        <v>172</v>
      </c>
      <c r="F14" s="44">
        <f>MIN(F7:F12)</f>
        <v>5.9</v>
      </c>
      <c r="G14" s="45">
        <f>MIN(G7:G12)</f>
        <v>5.5</v>
      </c>
      <c r="H14" s="45">
        <f>MIN(H7:H12)</f>
        <v>9.8000000000000007</v>
      </c>
      <c r="I14" s="45">
        <f>MIN(I7:I11)</f>
        <v>12.4</v>
      </c>
      <c r="J14" s="45">
        <f>MIN(J7:J12)</f>
        <v>1.2E-2</v>
      </c>
    </row>
    <row r="15" spans="2:10" ht="18" customHeight="1" x14ac:dyDescent="0.3">
      <c r="B15" s="7" t="s">
        <v>173</v>
      </c>
      <c r="F15" s="44">
        <f>MAX(F7:F12)</f>
        <v>28.4</v>
      </c>
      <c r="G15" s="45">
        <f>MAX(G7:G12)</f>
        <v>22.1</v>
      </c>
      <c r="H15" s="45">
        <f>MAX(H7:H12)</f>
        <v>40.200000000000003</v>
      </c>
      <c r="I15" s="45">
        <f>MAX(I7:I11)</f>
        <v>20.100000000000001</v>
      </c>
      <c r="J15" s="45">
        <f>MAX(J7:J12)</f>
        <v>0.12</v>
      </c>
    </row>
    <row r="16" spans="2:10" ht="18" customHeight="1" x14ac:dyDescent="0.3">
      <c r="B16" s="7" t="s">
        <v>174</v>
      </c>
      <c r="F16" s="44">
        <f>MEDIAN(F7:F12)</f>
        <v>7.5</v>
      </c>
      <c r="G16" s="45">
        <f>MEDIAN(G7:G12)</f>
        <v>7</v>
      </c>
      <c r="H16" s="45">
        <f>MEDIAN(H7:H12)</f>
        <v>11.3</v>
      </c>
      <c r="I16" s="45">
        <f>MEDIAN(I7:I11)</f>
        <v>14.4</v>
      </c>
      <c r="J16" s="45">
        <f>MEDIAN(J7:J12)</f>
        <v>1.9E-2</v>
      </c>
    </row>
    <row r="17" spans="2:10" ht="18" customHeight="1" x14ac:dyDescent="0.3">
      <c r="B17" s="7" t="s">
        <v>175</v>
      </c>
      <c r="F17" s="44">
        <f>AVERAGE(F7:F12)</f>
        <v>10.933333333333332</v>
      </c>
      <c r="G17" s="45">
        <f>AVERAGE(G7:G12)</f>
        <v>9.4666666666666668</v>
      </c>
      <c r="H17" s="45">
        <f>AVERAGE(H7:H12)</f>
        <v>16.466666666666669</v>
      </c>
      <c r="I17" s="45">
        <f>AVERAGE(I7:I11)</f>
        <v>15.325000000000001</v>
      </c>
      <c r="J17" s="45">
        <f>AVERAGE(J7:J12)</f>
        <v>3.7499999999999999E-2</v>
      </c>
    </row>
    <row r="20" spans="2:10" ht="15" customHeight="1" x14ac:dyDescent="0.3">
      <c r="B20" s="69" t="s">
        <v>176</v>
      </c>
      <c r="C20" s="70"/>
      <c r="D20" s="70"/>
      <c r="E20" s="70"/>
      <c r="F20" s="70"/>
      <c r="G20" s="70"/>
      <c r="H20" s="70"/>
      <c r="I20" s="70"/>
      <c r="J20" s="70"/>
    </row>
    <row r="21" spans="2:10" ht="15" customHeight="1" x14ac:dyDescent="0.3">
      <c r="B21" s="31" t="s">
        <v>177</v>
      </c>
      <c r="C21" s="73" t="s">
        <v>178</v>
      </c>
      <c r="D21" s="64"/>
      <c r="E21" s="64"/>
      <c r="F21" s="64"/>
      <c r="G21" s="64"/>
      <c r="H21" s="64"/>
      <c r="I21" s="64"/>
      <c r="J21" s="64"/>
    </row>
    <row r="22" spans="2:10" ht="15" customHeight="1" x14ac:dyDescent="0.3">
      <c r="B22" s="9" t="s">
        <v>177</v>
      </c>
      <c r="C22" s="46">
        <f>'Income Statement'!G14</f>
        <v>4104.76836</v>
      </c>
    </row>
    <row r="23" spans="2:10" ht="15" customHeight="1" x14ac:dyDescent="0.3">
      <c r="B23" s="9" t="s">
        <v>179</v>
      </c>
      <c r="C23" s="46">
        <f>'Income Statement'!G19</f>
        <v>4026.76836</v>
      </c>
    </row>
    <row r="24" spans="2:10" ht="15" customHeight="1" x14ac:dyDescent="0.3">
      <c r="B24" s="9" t="s">
        <v>180</v>
      </c>
      <c r="C24" s="47">
        <f>'Income Statement'!G23/7420</f>
        <v>0.44673428032345014</v>
      </c>
    </row>
    <row r="26" spans="2:10" ht="15" customHeight="1" x14ac:dyDescent="0.3">
      <c r="B26" s="31" t="s">
        <v>181</v>
      </c>
      <c r="C26" s="19">
        <f>G16*C22</f>
        <v>28733.378519999998</v>
      </c>
    </row>
    <row r="27" spans="2:10" ht="15" customHeight="1" x14ac:dyDescent="0.3">
      <c r="B27" s="31" t="s">
        <v>182</v>
      </c>
      <c r="C27" s="19">
        <f>G17*C22</f>
        <v>38858.473808000002</v>
      </c>
    </row>
    <row r="29" spans="2:10" ht="15" customHeight="1" x14ac:dyDescent="0.3">
      <c r="B29" s="48" t="s">
        <v>183</v>
      </c>
      <c r="C29" s="49">
        <f>(C26-'DCF Valuation'!C47-'DCF Valuation'!C48+'DCF Valuation'!C49)/'DCF Valuation'!C51</f>
        <v>5.4457383450134769</v>
      </c>
    </row>
    <row r="30" spans="2:10" ht="15" customHeight="1" x14ac:dyDescent="0.3">
      <c r="B30" s="48" t="s">
        <v>184</v>
      </c>
      <c r="C30" s="49">
        <f>(C27-'DCF Valuation'!C47-'DCF Valuation'!C48+'DCF Valuation'!C49)/'DCF Valuation'!C51</f>
        <v>6.8103064431266853</v>
      </c>
    </row>
  </sheetData>
  <mergeCells count="5">
    <mergeCell ref="B20:J20"/>
    <mergeCell ref="C21:J21"/>
    <mergeCell ref="B1:J1"/>
    <mergeCell ref="B4:J4"/>
    <mergeCell ref="B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25"/>
  <sheetViews>
    <sheetView showGridLines="0" tabSelected="1" zoomScaleNormal="100" workbookViewId="0">
      <selection activeCell="C25" sqref="C25:E25"/>
    </sheetView>
  </sheetViews>
  <sheetFormatPr defaultColWidth="8.6640625" defaultRowHeight="14.4" x14ac:dyDescent="0.3"/>
  <cols>
    <col min="1" max="1" width="3" customWidth="1"/>
    <col min="2" max="2" width="30" customWidth="1"/>
    <col min="3" max="5" width="16" customWidth="1"/>
  </cols>
  <sheetData>
    <row r="1" spans="2:5" ht="24" customHeight="1" x14ac:dyDescent="0.3">
      <c r="B1" s="71" t="s">
        <v>185</v>
      </c>
      <c r="C1" s="64"/>
      <c r="D1" s="64"/>
      <c r="E1" s="64"/>
    </row>
    <row r="2" spans="2:5" ht="15" customHeight="1" x14ac:dyDescent="0.3">
      <c r="B2" s="73" t="s">
        <v>186</v>
      </c>
      <c r="C2" s="64"/>
      <c r="D2" s="64"/>
      <c r="E2" s="64"/>
    </row>
    <row r="4" spans="2:5" ht="15" customHeight="1" x14ac:dyDescent="0.3">
      <c r="B4" s="69" t="s">
        <v>187</v>
      </c>
      <c r="C4" s="70"/>
      <c r="D4" s="70"/>
      <c r="E4" s="70"/>
    </row>
    <row r="5" spans="2:5" ht="19.5" customHeight="1" x14ac:dyDescent="0.3">
      <c r="B5" s="3" t="s">
        <v>188</v>
      </c>
      <c r="C5" s="32" t="s">
        <v>189</v>
      </c>
      <c r="D5" s="32" t="s">
        <v>190</v>
      </c>
      <c r="E5" s="32" t="s">
        <v>191</v>
      </c>
    </row>
    <row r="6" spans="2:5" ht="19.5" customHeight="1" x14ac:dyDescent="0.3">
      <c r="B6" s="50" t="s">
        <v>192</v>
      </c>
      <c r="C6" s="51">
        <v>3.04</v>
      </c>
      <c r="D6" s="52" t="s">
        <v>193</v>
      </c>
      <c r="E6" s="51" t="s">
        <v>193</v>
      </c>
    </row>
    <row r="7" spans="2:5" ht="19.5" customHeight="1" x14ac:dyDescent="0.3">
      <c r="B7" s="53" t="s">
        <v>194</v>
      </c>
      <c r="C7" s="54" t="s">
        <v>193</v>
      </c>
      <c r="D7" s="55">
        <f>'DCF Valuation'!C52</f>
        <v>7.0818284552097666</v>
      </c>
      <c r="E7" s="54" t="s">
        <v>193</v>
      </c>
    </row>
    <row r="8" spans="2:5" ht="19.5" customHeight="1" x14ac:dyDescent="0.3">
      <c r="B8" s="50" t="s">
        <v>195</v>
      </c>
      <c r="C8" s="51" t="s">
        <v>193</v>
      </c>
      <c r="D8" s="52" t="s">
        <v>193</v>
      </c>
      <c r="E8" s="51">
        <v>7.63</v>
      </c>
    </row>
    <row r="9" spans="2:5" ht="19.5" customHeight="1" x14ac:dyDescent="0.3">
      <c r="B9" s="53" t="s">
        <v>196</v>
      </c>
      <c r="C9" s="54">
        <v>2.6</v>
      </c>
      <c r="D9" s="55">
        <f>'Trading Comps'!C29</f>
        <v>5.4457383450134769</v>
      </c>
      <c r="E9" s="54">
        <v>3.9</v>
      </c>
    </row>
    <row r="10" spans="2:5" ht="19.5" customHeight="1" x14ac:dyDescent="0.3">
      <c r="B10" s="50" t="s">
        <v>197</v>
      </c>
      <c r="C10" s="51">
        <v>2.5</v>
      </c>
      <c r="D10" s="52">
        <f>'Trading Comps'!C30</f>
        <v>6.8103064431266853</v>
      </c>
      <c r="E10" s="51">
        <v>4.0999999999999996</v>
      </c>
    </row>
    <row r="11" spans="2:5" ht="19.5" customHeight="1" x14ac:dyDescent="0.3">
      <c r="B11" s="53" t="s">
        <v>198</v>
      </c>
      <c r="C11" s="54">
        <v>2.82</v>
      </c>
      <c r="D11" s="55">
        <v>3.42</v>
      </c>
      <c r="E11" s="54">
        <v>3.98</v>
      </c>
    </row>
    <row r="14" spans="2:5" ht="15" customHeight="1" x14ac:dyDescent="0.3">
      <c r="B14" s="69" t="s">
        <v>199</v>
      </c>
      <c r="C14" s="70"/>
      <c r="D14" s="70"/>
      <c r="E14" s="70"/>
    </row>
    <row r="15" spans="2:5" ht="22.05" customHeight="1" x14ac:dyDescent="0.3">
      <c r="B15" s="76" t="s">
        <v>211</v>
      </c>
      <c r="C15" s="64"/>
      <c r="D15" s="64"/>
      <c r="E15" s="64"/>
    </row>
    <row r="16" spans="2:5" ht="22.05" customHeight="1" x14ac:dyDescent="0.3">
      <c r="B16" s="64"/>
      <c r="C16" s="64"/>
      <c r="D16" s="64"/>
      <c r="E16" s="64"/>
    </row>
    <row r="17" spans="2:5" ht="22.05" customHeight="1" x14ac:dyDescent="0.3">
      <c r="B17" s="64"/>
      <c r="C17" s="64"/>
      <c r="D17" s="64"/>
      <c r="E17" s="64"/>
    </row>
    <row r="18" spans="2:5" ht="54" customHeight="1" x14ac:dyDescent="0.3">
      <c r="B18" s="64"/>
      <c r="C18" s="64"/>
      <c r="D18" s="64"/>
      <c r="E18" s="64"/>
    </row>
    <row r="19" spans="2:5" ht="22.05" customHeight="1" x14ac:dyDescent="0.3"/>
    <row r="20" spans="2:5" ht="15" customHeight="1" x14ac:dyDescent="0.3">
      <c r="B20" s="69" t="s">
        <v>200</v>
      </c>
      <c r="C20" s="70"/>
      <c r="D20" s="70"/>
      <c r="E20" s="70"/>
    </row>
    <row r="21" spans="2:5" ht="18" customHeight="1" x14ac:dyDescent="0.3">
      <c r="B21" s="50" t="s">
        <v>201</v>
      </c>
      <c r="C21" s="75" t="s">
        <v>212</v>
      </c>
      <c r="D21" s="64"/>
      <c r="E21" s="64"/>
    </row>
    <row r="22" spans="2:5" ht="18" customHeight="1" x14ac:dyDescent="0.3">
      <c r="B22" s="50" t="s">
        <v>202</v>
      </c>
      <c r="C22" s="75" t="s">
        <v>203</v>
      </c>
      <c r="D22" s="64"/>
      <c r="E22" s="64"/>
    </row>
    <row r="23" spans="2:5" ht="18" customHeight="1" x14ac:dyDescent="0.3">
      <c r="B23" s="50" t="s">
        <v>204</v>
      </c>
      <c r="C23" s="75" t="s">
        <v>213</v>
      </c>
      <c r="D23" s="64"/>
      <c r="E23" s="64"/>
    </row>
    <row r="24" spans="2:5" ht="18" customHeight="1" x14ac:dyDescent="0.3">
      <c r="B24" s="50" t="s">
        <v>205</v>
      </c>
      <c r="C24" s="75" t="s">
        <v>206</v>
      </c>
      <c r="D24" s="64"/>
      <c r="E24" s="64"/>
    </row>
    <row r="25" spans="2:5" ht="18" customHeight="1" x14ac:dyDescent="0.3">
      <c r="B25" s="62" t="s">
        <v>207</v>
      </c>
      <c r="C25" s="77">
        <f>'DCF Valuation'!C41</f>
        <v>0.88728248300129597</v>
      </c>
      <c r="D25" s="78"/>
      <c r="E25" s="79"/>
    </row>
  </sheetData>
  <mergeCells count="11">
    <mergeCell ref="C25:E25"/>
    <mergeCell ref="B14:E14"/>
    <mergeCell ref="C24:E24"/>
    <mergeCell ref="B1:E1"/>
    <mergeCell ref="B4:E4"/>
    <mergeCell ref="C23:E23"/>
    <mergeCell ref="C22:E22"/>
    <mergeCell ref="B2:E2"/>
    <mergeCell ref="B20:E20"/>
    <mergeCell ref="C21:E21"/>
    <mergeCell ref="B15:E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Assumptions</vt:lpstr>
      <vt:lpstr>Income Statement</vt:lpstr>
      <vt:lpstr>DCF Valuation</vt:lpstr>
      <vt:lpstr>Trading Comps</vt:lpstr>
      <vt:lpstr>Football Field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Sanjana Nair</cp:lastModifiedBy>
  <cp:revision>0</cp:revision>
  <dcterms:created xsi:type="dcterms:W3CDTF">2026-03-04T13:50:40Z</dcterms:created>
  <dcterms:modified xsi:type="dcterms:W3CDTF">2026-03-04T18:15:19Z</dcterms:modified>
  <dc:language>en-US</dc:language>
</cp:coreProperties>
</file>